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nasir/dev/rizm-fve-takehome-henkel/"/>
    </mc:Choice>
  </mc:AlternateContent>
  <xr:revisionPtr revIDLastSave="0" documentId="13_ncr:1_{0E823AA6-0DDF-E14B-BFF7-92DFE732C088}" xr6:coauthVersionLast="47" xr6:coauthVersionMax="47" xr10:uidLastSave="{00000000-0000-0000-0000-000000000000}"/>
  <bookViews>
    <workbookView xWindow="0" yWindow="660" windowWidth="34560" windowHeight="21660" activeTab="3" xr2:uid="{D8DCC835-E62D-D344-B61D-C7363F95AE03}"/>
  </bookViews>
  <sheets>
    <sheet name="sources" sheetId="4" r:id="rId1"/>
    <sheet name="assumptions" sheetId="1" r:id="rId2"/>
    <sheet name="usecases" sheetId="2" r:id="rId3"/>
    <sheet name="calc" sheetId="5" r:id="rId4"/>
    <sheet name="hand_check" sheetId="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16" i="1" l="1"/>
  <c r="D3" i="5"/>
  <c r="D4" i="5"/>
  <c r="D6" i="5" s="1"/>
  <c r="D5" i="5"/>
  <c r="D7" i="5"/>
  <c r="D8" i="5"/>
  <c r="D9" i="5"/>
  <c r="D12" i="5"/>
  <c r="D13" i="5"/>
  <c r="D21" i="5"/>
  <c r="D22" i="5"/>
  <c r="D23" i="5"/>
  <c r="D24" i="5"/>
  <c r="D36" i="5" s="1"/>
  <c r="D25" i="5"/>
  <c r="D26" i="5"/>
  <c r="D27" i="5"/>
  <c r="D38" i="5"/>
  <c r="D42" i="5"/>
  <c r="D43" i="5"/>
  <c r="D44" i="5"/>
  <c r="D45" i="5"/>
  <c r="D48" i="5"/>
  <c r="D49" i="5"/>
  <c r="D59" i="5"/>
  <c r="D60" i="5"/>
  <c r="D61" i="5"/>
  <c r="D62" i="5" s="1"/>
  <c r="D63" i="5"/>
  <c r="D64" i="5"/>
  <c r="D65" i="5"/>
  <c r="D66" i="5"/>
  <c r="D67" i="5"/>
  <c r="D68" i="5"/>
  <c r="K3" i="2"/>
  <c r="K4" i="2"/>
  <c r="K5" i="2"/>
  <c r="K6" i="2"/>
  <c r="K7" i="2"/>
  <c r="K8" i="2"/>
  <c r="K9" i="2"/>
  <c r="K10" i="2"/>
  <c r="K12" i="2"/>
  <c r="K13" i="2"/>
  <c r="K14" i="2"/>
  <c r="K2" i="2"/>
  <c r="D69" i="5" l="1"/>
  <c r="D16" i="5"/>
  <c r="D15" i="5"/>
  <c r="D32" i="5" s="1"/>
  <c r="D10" i="5"/>
  <c r="D11" i="5" s="1"/>
  <c r="D46" i="5"/>
  <c r="D47" i="5" s="1"/>
  <c r="D14" i="5"/>
  <c r="D51" i="5" s="1"/>
  <c r="D28" i="5"/>
  <c r="D37" i="5"/>
  <c r="D33" i="5"/>
  <c r="D35" i="5"/>
  <c r="D34" i="5"/>
  <c r="D29" i="5"/>
  <c r="D30" i="5" s="1"/>
  <c r="D31" i="5"/>
  <c r="D55" i="5"/>
  <c r="D50" i="5"/>
  <c r="D17" i="5" l="1"/>
  <c r="D54" i="5"/>
  <c r="D53" i="5"/>
  <c r="D52" i="5"/>
</calcChain>
</file>

<file path=xl/sharedStrings.xml><?xml version="1.0" encoding="utf-8"?>
<sst xmlns="http://schemas.openxmlformats.org/spreadsheetml/2006/main" count="1271" uniqueCount="750">
  <si>
    <t>id</t>
  </si>
  <si>
    <t>title</t>
  </si>
  <si>
    <t>url</t>
  </si>
  <si>
    <t>accessed_on</t>
  </si>
  <si>
    <t>note</t>
  </si>
  <si>
    <t>parameter</t>
  </si>
  <si>
    <t>value_in_source</t>
  </si>
  <si>
    <t>value_used</t>
  </si>
  <si>
    <t>unit</t>
  </si>
  <si>
    <t>reason_if_different</t>
  </si>
  <si>
    <t>source_title</t>
  </si>
  <si>
    <t>exact_quote</t>
  </si>
  <si>
    <t>year</t>
  </si>
  <si>
    <t>boundary (site / group / external)</t>
  </si>
  <si>
    <t>tier (A / B /C)</t>
  </si>
  <si>
    <t>used_in</t>
  </si>
  <si>
    <t>sensitivity_note</t>
  </si>
  <si>
    <t>use_case</t>
  </si>
  <si>
    <t>mechanism</t>
  </si>
  <si>
    <t>depends_on</t>
  </si>
  <si>
    <t>data_needed</t>
  </si>
  <si>
    <t>why_not</t>
  </si>
  <si>
    <t>score_a</t>
  </si>
  <si>
    <t>score_b</t>
  </si>
  <si>
    <t>score_c</t>
  </si>
  <si>
    <t>score_d</t>
  </si>
  <si>
    <t>total</t>
  </si>
  <si>
    <t>rank</t>
  </si>
  <si>
    <t>S1</t>
  </si>
  <si>
    <t>S2</t>
  </si>
  <si>
    <t>S3</t>
  </si>
  <si>
    <t>R1</t>
  </si>
  <si>
    <t>R2</t>
  </si>
  <si>
    <t>R3</t>
  </si>
  <si>
    <t>U1</t>
  </si>
  <si>
    <t>U2</t>
  </si>
  <si>
    <t>U3</t>
  </si>
  <si>
    <t>RIZM homepage (DE)</t>
  </si>
  <si>
    <t>https://rizm.de</t>
  </si>
  <si>
    <t>opened</t>
  </si>
  <si>
    <t>module names, customer logos, BMW "&gt;100 Millionen EUR"</t>
  </si>
  <si>
    <t>RIZM solution overview (DE)</t>
  </si>
  <si>
    <t>https://rizm.de/de/solution-overview</t>
  </si>
  <si>
    <t>what each module does; 15-minute operation; no Henkel mention</t>
  </si>
  <si>
    <t>RIZM press overview</t>
  </si>
  <si>
    <t>https://rizm.de/de/press</t>
  </si>
  <si>
    <t>S4</t>
  </si>
  <si>
    <t>S5</t>
  </si>
  <si>
    <t>list of press items; the brief's term "Agentic Energy OS" appears nowhere on the site (checked DE and EN pages)</t>
  </si>
  <si>
    <t>RIZM press: BMW Group success story</t>
  </si>
  <si>
    <t>https://rizm.de/de/press/success-story-bmw-group</t>
  </si>
  <si>
    <t>RIZM press: CEO guest article in e|m|w</t>
  </si>
  <si>
    <t>https://rizm.de/de/press/gastbeitrag-von-elias-kuepper-im-e-m-w-magazin</t>
  </si>
  <si>
    <t>dated 2025-04-03; "Entscheidungen nach dem Bauchgefühl sind nicht revisionssicher"; data-driven portfolio management</t>
  </si>
  <si>
    <t>Operation Hub: what the OS runs itself</t>
  </si>
  <si>
    <t>optimizes energy assets and production in 15-minute cycles across day-ahead, intraday and control-reserve markets, described as fully automated, with a link to flexibility aggregators</t>
  </si>
  <si>
    <t>same</t>
  </si>
  <si>
    <t>text</t>
  </si>
  <si>
    <t>im 15-Minuten-Takt; vollautomatisiert</t>
  </si>
  <si>
    <t>external</t>
  </si>
  <si>
    <t>A</t>
  </si>
  <si>
    <t>finds potentials from flexibility marketing, efficiency measures and investments to long-term hedging, against goals such as CO2 and ROI</t>
  </si>
  <si>
    <t>finden die besten Potentiale - von Flexibilitätsvermarktung, über Effizienzmaßnahmen, Investitionen bis langfristigem Hedging</t>
  </si>
  <si>
    <t>Portfolio Manager: procurement scope</t>
  </si>
  <si>
    <t>futures and PPA selection to a risk tolerance; costs, savings and flexibility allocated to each site at 15-minute resolution</t>
  </si>
  <si>
    <t>Kosten, Einsparungen und Flexibilität werden viertelstundengenau auf deine einzelnen Standorte verteilt</t>
  </si>
  <si>
    <t>R4</t>
  </si>
  <si>
    <t>R5</t>
  </si>
  <si>
    <t>Production scheduling scope</t>
  </si>
  <si>
    <t>energy-intensive process steps shifted into cheap or green periods; optimized production plans</t>
  </si>
  <si>
    <t>optimierte Produktionspläne</t>
  </si>
  <si>
    <t>Digital Twin: data the OS needs</t>
  </si>
  <si>
    <t>a live model of the site's energy infrastructure fed with production, consumption, infrastructure and procurement data</t>
  </si>
  <si>
    <t>eine lebendige digitale Replik deiner Energieinfrastruktur</t>
  </si>
  <si>
    <t>Decision Hub: what the OS prepares for humans to decide on</t>
  </si>
  <si>
    <t>R8</t>
  </si>
  <si>
    <t>Heat project: what it is</t>
  </si>
  <si>
    <t>industrial waste heat, supplemented by a CHP plant, feeds an energy centre of about 700 m² and a 3.6 km pipe; in operation since April 2026</t>
  </si>
  <si>
    <t>S6 Henkel press release 2026-04-13</t>
  </si>
  <si>
    <t>https://www.henkel.de/presse-und-medien/presseinformationen-und-pressemappen/2026-04-13-stadtwerke-duesseldorf-und-henkel-versorgen-ab-sofort-den-duesseldorfer-sueden-mit-industrieabwaerme-2142728</t>
  </si>
  <si>
    <t>rund 3,6 Kilometer lange Leitung in den umliegenden Stadtteilen gebaut</t>
  </si>
  <si>
    <t>site</t>
  </si>
  <si>
    <t>already-done rule: waste-heat sales are done</t>
  </si>
  <si>
    <t>R9</t>
  </si>
  <si>
    <t>Power plant as material asset; Scope 1 target</t>
  </si>
  <si>
    <t>the Holthausen power plant is a material asset with locked-in emissions; the report ties the group's Scope 1 target (minus 42 % by 2030 vs 2021) to cutting the plant's emissions</t>
  </si>
  <si>
    <t>S7 Annual Report 2025, p. 203</t>
  </si>
  <si>
    <t>https://www.henkel.com/resource/blob/2131544/eae43b38b5da9c89268a532af1dfbe4f/data/2025-annual-report.pdf</t>
  </si>
  <si>
    <t>Achieving the short-term Scope 1 reduction target may be jeopardized if Henkel does not reduce the power plant's GHG emissions in line with an absolute reduction of 42 percent by 2030 (compared to the base year 2021).</t>
  </si>
  <si>
    <t>R10</t>
  </si>
  <si>
    <t>Planned actions for the Holthausen plant by 2030</t>
  </si>
  <si>
    <t>efficiency of the plant and the installations it supplies; more renewable fuels such as biomethane; coal discontinued in 2024 and coal infrastructure dismantled; waste heat for heat generation planned</t>
  </si>
  <si>
    <t>In 2024, the use of coal as an energy source was completely discontinued and the coal combustion infrastructure was dismantled.</t>
  </si>
  <si>
    <t>already-done rule: coal exit done; efficiency and biomethane under way</t>
  </si>
  <si>
    <t>R11</t>
  </si>
  <si>
    <t>Group natural gas consumption</t>
  </si>
  <si>
    <t>685,372 (2024: 769,423)</t>
  </si>
  <si>
    <t>MWh</t>
  </si>
  <si>
    <t>Fuel consumption from natural gas MWh 769,423 685,372</t>
  </si>
  <si>
    <t>group</t>
  </si>
  <si>
    <t>upper bound for the site's own gas use; the plant burns more than this because fuel for third-party supply is not counted as Henkel's consumption (my reading of the ESRS scope)</t>
  </si>
  <si>
    <t>R14</t>
  </si>
  <si>
    <t>Own energy generation, mainly the Holthausen plant</t>
  </si>
  <si>
    <t>930,585 total; 793,463 fossil; 137,122 renewable (2024: 935,711; 836,604; 99,107)</t>
  </si>
  <si>
    <t>S7 Annual Report 2025, p. 204</t>
  </si>
  <si>
    <t>industrial energy generation, especially from the power plant at the Düsseldorf-Holthausen site that uses fossil fuels and renewable fuels for energy generation for Henkel and third parties</t>
  </si>
  <si>
    <t>group, mostly site</t>
  </si>
  <si>
    <t>best public proxy for the plant's output; includes PV and other sites</t>
  </si>
  <si>
    <t>R15</t>
  </si>
  <si>
    <t>Scope 1 from energy used by Henkel vs supplied to third parties</t>
  </si>
  <si>
    <t>188,994 used by Henkel; 168,856 supplied to third parties (2024: 220,463; 185,158); together the whole gross Scope 1 of 357,850</t>
  </si>
  <si>
    <t>tCO2e</t>
  </si>
  <si>
    <t>S7 Annual Report 2025, p. 205</t>
  </si>
  <si>
    <t>Scope 1 (t CO2e) from steam, heat and electricity, supplied to third parties 257,298 185,158 168,856</t>
  </si>
  <si>
    <t>R16</t>
  </si>
  <si>
    <t>Share of Scope 1 under emissions trading</t>
  </si>
  <si>
    <t>59 (2024: 56; 2021: 52)</t>
  </si>
  <si>
    <t>%</t>
  </si>
  <si>
    <t>Percentage of Scope 1 GHG emissions from regulated emission trading schemes 52% 56% 59%</t>
  </si>
  <si>
    <t>hand check: R50 divided by the gross Scope 1 in R15 should give 0.59, and the 2024 and 2021 pairs 0.56 and 0.52; then the plant is Henkel's only ETS installation that counts</t>
  </si>
  <si>
    <t>R17</t>
  </si>
  <si>
    <t>Group Scope 2, market-based and location-based</t>
  </si>
  <si>
    <t>34,824 market-based; 320,779 location-based (2024: 55,988; 320,897)</t>
  </si>
  <si>
    <t>Gross market-based Scope 2 GHG emissions (t CO2e) 160,242 55,988 34,824</t>
  </si>
  <si>
    <t>needed for R19</t>
  </si>
  <si>
    <t>R18</t>
  </si>
  <si>
    <t>Scope 1 and 2 per ton of production</t>
  </si>
  <si>
    <t>0.0249 (2024: 0.0304; 2017 base: 0.0843)</t>
  </si>
  <si>
    <t>tCO2 per t production volume</t>
  </si>
  <si>
    <t>S7 Annual Report 2025, p. 215</t>
  </si>
  <si>
    <t>Scope 1 and 2 GHG emissions (t CO2/t production volume)1 0.0843 0.0304 -63.9 0.0249 -70.5</t>
  </si>
  <si>
    <t>net values, market-based, excludes energy sold to third parties, fleets, refrigerants, process emissions, non-production sites</t>
  </si>
  <si>
    <t>R19</t>
  </si>
  <si>
    <t>Group production volume, derived</t>
  </si>
  <si>
    <t>t</t>
  </si>
  <si>
    <t>not published; derived from the intensity KPI and its matching emissions</t>
  </si>
  <si>
    <t>own calculation from R15, R17, R18</t>
  </si>
  <si>
    <t>none</t>
  </si>
  <si>
    <t>C</t>
  </si>
  <si>
    <t>R20</t>
  </si>
  <si>
    <t>Düsseldorf among the two largest production sites; what it makes</t>
  </si>
  <si>
    <t>laundry detergents, household cleaners, adhesives for consumers and craftsmen, products for industrial customers</t>
  </si>
  <si>
    <t>S7 Annual Report 2025, p. 111</t>
  </si>
  <si>
    <t>R22</t>
  </si>
  <si>
    <t>How energy data is collected</t>
  </si>
  <si>
    <t>production sites report energy consumption through one central data entry software</t>
  </si>
  <si>
    <t>Henkel collects the energy consumption data of its production sites, selected R&amp;D facilities, warehouses, offices and tool inventory and vehicle fleet using a centralized data entry software.</t>
  </si>
  <si>
    <t>first-visit request candidate: the Holthausen export from this system</t>
  </si>
  <si>
    <t>R28</t>
  </si>
  <si>
    <t>Industrial electricity price, Germany, band 150 GWh or more, excluding VAT (levies included), 2025</t>
  </si>
  <si>
    <t>0.1338 (S1); 0.1307 (S2)</t>
  </si>
  <si>
    <t>EUR per kWh</t>
  </si>
  <si>
    <t>S9 Eurostat nrg_pc_205</t>
  </si>
  <si>
    <t>https://ec.europa.eu/eurostat/databrowser/view/nrg_pc_205</t>
  </si>
  <si>
    <t>Band IG: 150 000 MWh or over; Excluding VAT and other recoverable taxes and levies; 2025-S1 0.1338, 2025-S2 0.1307</t>
  </si>
  <si>
    <t>B</t>
  </si>
  <si>
    <t>R29</t>
  </si>
  <si>
    <t>Industrial electricity price, Germany, band 150 GWh or more, excluding VAT, 2024</t>
  </si>
  <si>
    <t>0.1212 (S1); 0.1390 (S2)</t>
  </si>
  <si>
    <t>Band IG: 150 000 MWh or over; Excluding VAT and other recoverable taxes and levies; 2024-S1 0.1212, 2024-S2 0.1390</t>
  </si>
  <si>
    <t>D5 sensitivity year</t>
  </si>
  <si>
    <t>R30</t>
  </si>
  <si>
    <t>Industrial electricity price, Germany, band 70-150 GWh, excluding VAT, 2025</t>
  </si>
  <si>
    <t>0.1447 (S1); 0.1440 (S2)</t>
  </si>
  <si>
    <t>Band IF: 70 000 MWh &lt; consumption &lt; 150 000 MWh; Excluding VAT and other recoverable taxes and levies; 2025-S1 0.1447, 2025-S2 0.1440</t>
  </si>
  <si>
    <t>sensitivity if the site buys less than 150 GWh</t>
  </si>
  <si>
    <t>R31</t>
  </si>
  <si>
    <t>Industrial gas price, Germany, band 1 to 4 million GJ, excluding taxes and levies, 2025</t>
  </si>
  <si>
    <t>0.0422 (S1); 0.0353 (S2)</t>
  </si>
  <si>
    <t>EUR per kWh, gross calorific value</t>
  </si>
  <si>
    <t>S10 Eurostat nrg_pc_203</t>
  </si>
  <si>
    <t>https://ec.europa.eu/eurostat/databrowser/view/nrg_pc_203</t>
  </si>
  <si>
    <t>Band I5: 1 000 000 GJ &lt; consumption &lt; 4 000 000 GJ; Excluding taxes and levies; 2025-S1 0.0422, 2025-S2 0.0353</t>
  </si>
  <si>
    <t>R32</t>
  </si>
  <si>
    <t>Industrial gas price, Germany, band 1 to 4 million GJ, excluding taxes and levies, 2024</t>
  </si>
  <si>
    <t>0.0360 (S1); 0.0419 (S2)</t>
  </si>
  <si>
    <t>Band I5: 1 000 000 GJ &lt; consumption &lt; 4 000 000 GJ; Excluding taxes and levies; 2024-S1 0.0360, 2024-S2 0.0419</t>
  </si>
  <si>
    <t>R35</t>
  </si>
  <si>
    <t>EUA price, annual average 2024</t>
  </si>
  <si>
    <t>EUR per tCO2</t>
  </si>
  <si>
    <t>S11 ESMA carbon markets report 2025, p. 6</t>
  </si>
  <si>
    <t>https://www.esma.europa.eu/sites/default/files/2025-10/ESMA50-481369926-30552_Carbon_Markets_Report_2025.pdf</t>
  </si>
  <si>
    <t>In 2024, the spot price of EUAs averaged EUR 65 per tonne of CO2-equivalent emissions</t>
  </si>
  <si>
    <t>D5 sensitivity year; S18 gives the same 65 for the German auctions</t>
  </si>
  <si>
    <t>R36</t>
  </si>
  <si>
    <t>EUA price, annual average 2025, German auctions</t>
  </si>
  <si>
    <t>73.86 (rund 74)</t>
  </si>
  <si>
    <t>rounded to full euros</t>
  </si>
  <si>
    <t>S18 DEHSt press release 2026-01-07</t>
  </si>
  <si>
    <t>https://www.dehst.de/SharedDocs/Pressemitteilungen/DE/2026-001-Emissionshandel-21-Milliarden-Euro.html</t>
  </si>
  <si>
    <t>Dieser lag 2025 mit rund 74 (73,86) Euro oberhalb des Vorjahreswertes (2024: 65 Euro).</t>
  </si>
  <si>
    <t>auction price; the secondary-market average differs by a few percent; replaces the trade-press "around 75" from S12</t>
  </si>
  <si>
    <t>R37</t>
  </si>
  <si>
    <t>Plant installed capacity after the 2016 engines</t>
  </si>
  <si>
    <t>MW</t>
  </si>
  <si>
    <t>S15 Energie &amp; Management 2023-08-22</t>
  </si>
  <si>
    <t>https://www.energie-und-management.de/nachrichten/energieerzeugung/detail/henkel-und-stadtwerke-duesseldorf-starten-waermeprojekt-192678</t>
  </si>
  <si>
    <t>Deren 4 MW sorgten für einen Anstieg der gesamten installierten Leistung auf 89 MW</t>
  </si>
  <si>
    <t>press, before the coal exit; the register shows 75.3 MW electric CHP capacity today (R48); useful only for the "what changed" sentence</t>
  </si>
  <si>
    <t>R38</t>
  </si>
  <si>
    <t>Plant overall efficiency</t>
  </si>
  <si>
    <t>S15 and S16</t>
  </si>
  <si>
    <t>tragen zum Gesamtwirkungsgrad von 85 Prozent bei</t>
  </si>
  <si>
    <t>CHP, fuel to useful energy; press figure, before the coal exit</t>
  </si>
  <si>
    <t>R39</t>
  </si>
  <si>
    <t>Plant configuration</t>
  </si>
  <si>
    <t>one gas turbine and five steam turbines driving generators; boilers also burn residues from processing natural oils and fats</t>
  </si>
  <si>
    <t>S16 Marquard 2014</t>
  </si>
  <si>
    <t>https://www.marquard.eu/de/inbetriebnahme-heizkraftwerk-der-henkel-kgaa/</t>
  </si>
  <si>
    <t>eine Gas- und fünf Dampfturbinen, die Generatoren antreiben</t>
  </si>
  <si>
    <t>old, but the only public description of the machines; the residue fuel is the report's "renewable fuels"; today four steam turbines and the gas turbine remain (R42, R46), two units retired in 2025 (R47)</t>
  </si>
  <si>
    <t>R42</t>
  </si>
  <si>
    <t>Plant units in operation: four back-pressure steam turbines</t>
  </si>
  <si>
    <t>kW</t>
  </si>
  <si>
    <t>S8 Marktstammdatenregister export, KWK933766051545, and S17</t>
  </si>
  <si>
    <t>https://www.marktstammdatenregister.de/MaStR/Einheit/Einheiten/ErweiterteOeffentlicheEinheitenuebersicht?filter=MaStR-Nr.%20der%20KWK-Anlage~ct~%27KWK933766051545%27&amp;fragment=stromerzeugung#stromerzeugung</t>
  </si>
  <si>
    <t>MaStR unit numbers: SEE945580171361; SEE907828499484; SEE949722134498; SEE952807166543</t>
  </si>
  <si>
    <t>back-pressure turbines, so their electricity follows steam demand (my reading of the technology field, matches R39)</t>
  </si>
  <si>
    <t>R46</t>
  </si>
  <si>
    <t>Plant unit Gasturbine</t>
  </si>
  <si>
    <t>S8 Marktstammdatenregister export, KWK933766051545</t>
  </si>
  <si>
    <t>MaStR unit number: SEE964215288830</t>
  </si>
  <si>
    <t>the one unit whose output does not follow steam demand</t>
  </si>
  <si>
    <t>R47</t>
  </si>
  <si>
    <t>Plant units retired in 2025</t>
  </si>
  <si>
    <t>MaStR unit numbers: SEE956631893736; SEE983086557883; Datum der endgültigen Stilllegung 23.07.2025</t>
  </si>
  <si>
    <t>fits the coal exit and boiler dismantling described in the report (R10)</t>
  </si>
  <si>
    <t>R48</t>
  </si>
  <si>
    <t>Plant as one CHP installation</t>
  </si>
  <si>
    <t>S8 Marktstammdatenregister export</t>
  </si>
  <si>
    <t>KWK933766051545; Elektrische KWK-Leistung 75300; Thermische Nutzleistung in kW 450000</t>
  </si>
  <si>
    <t>the export field is "Thermische Nutzleistung in kW"; 450 MW looks high against the yearly fuel use implied by R50, probably total boiler capacity incl. reserve; not used as a steam figure, not load-bearing</t>
  </si>
  <si>
    <t>R49</t>
  </si>
  <si>
    <t>ETS installation identity</t>
  </si>
  <si>
    <t>Anlagen-ID 1197, DEHSt-Nr. 14310-0641, Henkel AG &amp; Co. KGaA, Kraftwerk Holthausen, NW, 40191 Düsseldorf, Haupttätigkeit 2 Energieumwandlung &gt;= 50 MW FWL</t>
  </si>
  <si>
    <t>S13 DEHSt Anlagenliste 2025, p. 27</t>
  </si>
  <si>
    <t>https://www.dehst.de/SharedDocs/downloads/DE/anlagenlisten/2021-2030/2025.pdf?__blob=publicationFile&amp;v=3</t>
  </si>
  <si>
    <t>1197 | 14310-0641 | Henkel AG &amp; Co. KGaA | Kraftwerk Holthausen | NW | 40191 | Düsseldorf | 2 | Energieumwandlung &gt;= 50 MW FWL</t>
  </si>
  <si>
    <t>postcode 40191 is Henkel's PO-box code, the register shows 40589 only on the retired units; BASF (Wasserglasfabrik, Fettalkohol) and KLK have their own ETS installations at 40589, so this row is the power plant only, not the whole park</t>
  </si>
  <si>
    <t>R50</t>
  </si>
  <si>
    <t>Verified CO2 emissions of Kraftwerk Holthausen 2025 (VET)</t>
  </si>
  <si>
    <t>tCO2</t>
  </si>
  <si>
    <t>VET 2025 in [t CO2 Äq]: 211.078</t>
  </si>
  <si>
    <t>R51</t>
  </si>
  <si>
    <t>CO2 emissions of Kraftwerk Holthausen 2024</t>
  </si>
  <si>
    <t>2024 in [t CO2 Äq]: 229.042</t>
  </si>
  <si>
    <t>R52</t>
  </si>
  <si>
    <t>Free allocation Kraftwerk Holthausen 2025</t>
  </si>
  <si>
    <t>EUA</t>
  </si>
  <si>
    <t>Zuteilung 2025 in [EUA]: 61.633</t>
  </si>
  <si>
    <t>R53</t>
  </si>
  <si>
    <t>status (opened / not found / irrelevant / not used)</t>
  </si>
  <si>
    <t>dated 2024-06-01; savings "three-digit million" by 2030, group level, no site data; context only, no register row</t>
  </si>
  <si>
    <t>S6</t>
  </si>
  <si>
    <t>Henkel press release 2026-04-13, Stadtwerke heat supply starts</t>
  </si>
  <si>
    <t>heat project in operation; city CO2 saving, energy centre, pipe; no MWh, no share, no fuel statement</t>
  </si>
  <si>
    <t>S7</t>
  </si>
  <si>
    <t>Henkel Annual Report 2025 incl. sustainability statement</t>
  </si>
  <si>
    <t>group energy and emissions tables (ESRS E1, pp. 203-205), per-ton intensity (p. 215), site facts (p. 111); power plant named as material asset with 2030 actions; rows R9-R22</t>
  </si>
  <si>
    <t>S8</t>
  </si>
  <si>
    <t>Marktstammdatenregister, Erweiterte Einheitenübersicht, filter MaStR-Nr. der KWK-Anlage = KWK933766051545</t>
  </si>
  <si>
    <t>seven units of Henkel's CHP plant, five in operation, all grid-operator verified (Netzbetreiberprüfung: Geprüft); export saved as data/mastr-KWK933766051545.csv; operating units carry no address in the public view, the two retired ones show Henkelstraße 67, 40589; found through the BNetzA list (S17)</t>
  </si>
  <si>
    <t>S9</t>
  </si>
  <si>
    <t>Eurostat nrg_pc_205, electricity prices non-household, Germany</t>
  </si>
  <si>
    <t>bands 70-150 GWh and 150 GWh or more; 2024-S1 to 2025-S2; dataset updated 2026-05-19</t>
  </si>
  <si>
    <t>S10</t>
  </si>
  <si>
    <t>Eurostat nrg_pc_203, gas prices non-household, Germany</t>
  </si>
  <si>
    <t>band 1-4 million GJ; kWh on gross calorific value; 2024-S1 to 2025-S2</t>
  </si>
  <si>
    <t>S11</t>
  </si>
  <si>
    <t>ESMA, EU carbon markets report 2025</t>
  </si>
  <si>
    <t>EUA spot average 2024, page 6</t>
  </si>
  <si>
    <t>S12</t>
  </si>
  <si>
    <t>GMK Center, 2026-01-08, analysts expect European carbon prices to rise in 2026</t>
  </si>
  <si>
    <t>https://gmk.center/en/news/analysts-expect-european-carbon-prices-to-rise-in-2026/</t>
  </si>
  <si>
    <t>not used</t>
  </si>
  <si>
    <t>trade press; 2025 average "around €75/t"; replaced by the official DEHSt figure (S18)</t>
  </si>
  <si>
    <t>S13</t>
  </si>
  <si>
    <t>DEHSt, Anlagenliste 2025 incl. Erläuterungen, dated 2026-07-08</t>
  </si>
  <si>
    <t>PDF "Emissionshandelspflichtige Anlagen in Deutschland 2025", data as of 2026-05-02, 51 pages; Henkel row p. 27, Anlagen-ID 1197, DEHSt-Nr. 14310-0641; emissions 2020-2024, VET 2025, free allocation; whole plant incl. third parties</t>
  </si>
  <si>
    <t>S14</t>
  </si>
  <si>
    <t>Leads from thread 01 opened and not used</t>
  </si>
  <si>
    <t>various</t>
  </si>
  <si>
    <t>site fact page, three older heat-project releases, EU Transaction Log, thru.de, EEA portal, Destatis, BDEW, Monitoringbericht, netztransparenz, Amprion and Netz Düsseldorf price sheets, StromStG, BEHG, Bezirksregierung inspection report, BASF 2016, finanzen.net 2022, ddorf-aktuell, Bilfinger, stadt+werk, Wirtschaftsförderung page, Wikipedia, ICAP price explorer (data download came back empty); would refine a number, not change a use case</t>
  </si>
  <si>
    <t>S15</t>
  </si>
  <si>
    <t>Energie &amp; Management, 2023-08-22, Henkel und Stadtwerke Düsseldorf starten Wärmeprojekt</t>
  </si>
  <si>
    <t>trade press; plant capacity 89 MW, efficiency, district-heat share, investment</t>
  </si>
  <si>
    <t>S16</t>
  </si>
  <si>
    <t>Marquard Engineering, August 2014, Inbetriebnahme Heizkraftwerk der Henkel KGaA</t>
  </si>
  <si>
    <t>contractor note; turbine configuration, residue fuels</t>
  </si>
  <si>
    <t>S17</t>
  </si>
  <si>
    <t>BNetzA Kraftwerksliste, CSV, data as of 2026-06-26</t>
  </si>
  <si>
    <t>https://www.bundesnetzagentur.de/DE/Fachthemen/ElektrizitaetundGas/Versorgungssicherheit/Erzeugungskapazitaeten/Kraftwerksliste/_DL/Kraftwerksliste_CSV.csv?__blob=publicationFile&amp;v=10</t>
  </si>
  <si>
    <t>units from 10 MW; Henkel unit F13G6 with its MaStR number, which led to the plant's CHP installation in the register</t>
  </si>
  <si>
    <t>S18</t>
  </si>
  <si>
    <t>DEHSt press release 2026-01-07, Emissionshandel: 21 Milliarden Euro fließen in den Klima- und Transformationsfonds</t>
  </si>
  <si>
    <t>average German EUA auction price 2025 and 2024</t>
  </si>
  <si>
    <t>Our largest production facilities are located in Bowling Green, Kentucky, USA, and in Düsseldorf, Germany. In Düsseldorf, we produce not only laundry detergents and household cleaners but also adhesives for consumers and craftsmen, and products for our industrial customers.</t>
  </si>
  <si>
    <t>the price a large industrial buyer pays before VAT; band is a guess until the site's purchased volume is known (R30 is the smaller band); a ceiling for a saved kWh, the site imports in some hours and exports in others (R48)</t>
  </si>
  <si>
    <t>F13G5 20 000 kW gross, 18 000 kW net, commissioned 1980-01-01; F13G6 20 000 / 18 000, 1983-01-01 (also in the BNetzA list, S17); F03G2 13 200 / 11 880, 1965-01-01; F03G3 13 200 / 11 880, 1965-01-01; all natural gas, Gegendruckmaschine mit Entnahme, CHP, in operation, Teileinspeisung</t>
  </si>
  <si>
    <t>8 900 kW gross, 8 600 kW net, natural gas, Gasturbine mit Abhitzekessel, CHP, commissioned 2012-02-24, in operation, Teileinspeisung</t>
  </si>
  <si>
    <t>F03G1, 10 000 kW gross, commissioned 1963-01-01, and F12ET, 570 kW, commissioned 1996-01-01, both permanently shut down 2025-07-23</t>
  </si>
  <si>
    <t>installation KWK933766051545, commissioned 1948-01-01, elektrische KWK-Leistung 75 300 kW, thermische Nutzleistung 450 000 kW; operator Henkel AG &amp; Co. KGaA (ABR949972975438); grid operator Netzgesellschaft Düsseldorf mbH, Mittelspannung, Teileinspeisung with own consumption; five units in operation, 68 360 kW net (my sum)</t>
  </si>
  <si>
    <t>whole plant incl. steam and power for third parties; Henkel's own share is not public (third-party share up to 168 856 t per R15), data-request candidate; two small units ran until July 2025 (R47), so 2025 mixes two configurations, effect small; 2024 in R51</t>
  </si>
  <si>
    <t>D5 sensitivity year; trend 2021: 322 725; 2022: 286 155; 2023: 276 326 (coal exit shows in 2024)</t>
  </si>
  <si>
    <t>allowances to buy = R50 minus R52, priced with R36; 2024: 63 398 EUA</t>
  </si>
  <si>
    <t>Group climate targets and where Scope 1 and 2 stand</t>
  </si>
  <si>
    <t>base year 2021: 778,331; 2025: 392,674 (minus 49.5 % vs base); 2030 target 1: 451,432 (minus 42 %, Scope 1 and 2 combined); target 3 net zero: minus 90 % across Scopes 1, 2 and 3 by 2045</t>
  </si>
  <si>
    <t>S7 Annual Report 2025, pp. 200 and 205</t>
  </si>
  <si>
    <t>Scope 1 and 2 GHG emissions SBTi target scope (t CO2e)1 778,331 461,609 392,674 -14.9% -49.5% 451,432 4.7% | p. 200: Our target 1: Reduce absolute Scope 1 and 2 GHG emissions by 42% (2030 vs. 2021). Our target 3 (net zero): Reduce absolute Scope 1, Scope 2 and Scope 3 GHG emissions by 90% (2045 vs 2021)</t>
  </si>
  <si>
    <t>hand check: R53 = R15 gross Scope 1 + R17 market-based Scope 2 for 2021 and 2025; the combined KPI is past minus 42 % because market-based Scope 2 fell from 160 242 to 34 824; Scope 1 alone is 357 850 vs 618 089 = minus 42.1 %, on the 2030 line; with Scope 2 nearly used up, Scope 1 is the remaining lever toward 2045 (my inference, target 3 is combined across all scopes); no Scope 1-only target exists, the p. 203 sentence in R9 refers to the plant's share of target 1</t>
  </si>
  <si>
    <t>reason</t>
  </si>
  <si>
    <t>R42, R46, R48, R8, R5, R1</t>
  </si>
  <si>
    <t>15-min steam and electricity meters per consumer, unit heat rates, start costs, minimum loads</t>
  </si>
  <si>
    <t>Third-party steam may be fixed-schedule under contract [guess]; forecast value small if load is already flat</t>
  </si>
  <si>
    <t>Gas turbine dispatch on day-ahead/intraday spread (spark spread incl. EUA)</t>
  </si>
  <si>
    <t>R46, R1, R31, R36, R28, R48</t>
  </si>
  <si>
    <t>GT heat rate and Abhitzekessel heat credit, hourly spot prices, gas contract price, export tariff, ramp/start limits</t>
  </si>
  <si>
    <t>8.6 MW net is small [found R46]; GT heat may be needed for district heating since April 2026 [inferred from R8]</t>
  </si>
  <si>
    <t>Import/export optimisation at the medium-voltage connection incl. network-charge rules (peak, atypical use)</t>
  </si>
  <si>
    <t>R48, R28, R30, R1, R3</t>
  </si>
  <si>
    <t>15-min import/export, grid contract and tariff, peak billing basis, KWKG/feed-in terms</t>
  </si>
  <si>
    <t>Site may be net exporter most hours [guess]; feed-in terms may be fixed [assumes: no fixed-price feed-in contract]</t>
  </si>
  <si>
    <t>U4</t>
  </si>
  <si>
    <t>Gas, power and EUA hedging to a risk tolerance (futures, PPA, EUA position)</t>
  </si>
  <si>
    <t>R3, R2, R31, R32, R35, R36, R50, R52, R11</t>
  </si>
  <si>
    <t>Annual gas volume, hedge ratio and timing, EUA position, purchased-power volume, risk appetite</t>
  </si>
  <si>
    <t>Group treasury may already hedge centrally [guess]; [assumes: site or Henkel DE procures its own gas and EUAs]</t>
  </si>
  <si>
    <t>U5</t>
  </si>
  <si>
    <t>Shifting electricity-intensive process steps into cheap/green hours</t>
  </si>
  <si>
    <t>R4, R20, R28, R1</t>
  </si>
  <si>
    <t>Load profiles per line, batch/campaign constraints, buffer sizes, staffing rules</t>
  </si>
  <si>
    <t>Own CHP power dampens the spot signal [inferred from R48]; detergent/adhesive lines may be continuous or quality-bound [guess]; [assumes: shiftable electric loads exist]</t>
  </si>
  <si>
    <t>U6</t>
  </si>
  <si>
    <t>Control-reserve and intraday flexibility from GT and steam-turbine extraction</t>
  </si>
  <si>
    <t>R1, R46, R42, R48</t>
  </si>
  <si>
    <t>Ramp rates, prequalification status, controllable MW, steam-extraction limits, aggregator terms</t>
  </si>
  <si>
    <t>Back-pressure units cannot vary power without varying steam [inferred from R42]; [assumes: no existing prequalification]</t>
  </si>
  <si>
    <t>U7</t>
  </si>
  <si>
    <t>Biomethane volume and timing against EUA price, gas price and 2030 Scope 1 path</t>
  </si>
  <si>
    <t>R10, R9, R36, R50, R52, R53, R14</t>
  </si>
  <si>
    <t>Biomethane offer prices, sustainability certification, ETS zero-rating conditions, target trajectory per year</t>
  </si>
  <si>
    <t>[already done: started per R10]; mass-balance biomethane may not zero-rate under ETS without certification [guess]</t>
  </si>
  <si>
    <t>U8</t>
  </si>
  <si>
    <t>Investment case: electrode boiler, industrial heat pump or steam storage beside the CHP</t>
  </si>
  <si>
    <t>R2, R42, R48, R38, R28, R31, R36, R50</t>
  </si>
  <si>
    <t>Steam pressure/temperature levels, load-duration curve, hourly power prices, CAPEX quotes, grid capacity</t>
  </si>
  <si>
    <t>85 % CHP efficiency [found R38] and 13 ct vs 4 ct price gap [inferred from R28, R31] make electrification hard; [assumes: low-pressure steam share large enough]</t>
  </si>
  <si>
    <t>U9</t>
  </si>
  <si>
    <t>Heat source split for district-heating deliveries (waste heat vs CHP heat)</t>
  </si>
  <si>
    <t>R8, R10, R42, R46</t>
  </si>
  <si>
    <t>Heat contract volumes and prices, waste-heat availability per hour, CHP heat cost</t>
  </si>
  <si>
    <t>[already done: sale itself]; contract may be take-or-pay with no dispatch freedom [guess]</t>
  </si>
  <si>
    <t>U10</t>
  </si>
  <si>
    <t>Third-party steam and power cost allocation at 15-min resolution (BASF, KLK)</t>
  </si>
  <si>
    <t>R3, R15, R49, R48</t>
  </si>
  <si>
    <t>Steam/power meters per tenant, contract pricing formulas, plant marginal cost per hour</t>
  </si>
  <si>
    <t>Pass-through contracts yield no € for Henkel [guess]; [assumes: BASF and KLK are the steam customers, inferred from R49]</t>
  </si>
  <si>
    <t>U11</t>
  </si>
  <si>
    <t>Boiler and turbine efficiency monitoring (flue gas, condensate return, fouling)</t>
  </si>
  <si>
    <t>R10, R38, R42, R22</t>
  </si>
  <si>
    <t>Boiler-level fuel and steam meters, flue-gas O2/temperature, condensate return rate</t>
  </si>
  <si>
    <t>[already done: "efficiency" is in Henkel's plan per R10]; needs meter granularity that may not exist [guess]</t>
  </si>
  <si>
    <t>U12</t>
  </si>
  <si>
    <t>U13</t>
  </si>
  <si>
    <t>(forecasting) Fewer boiler/turbine starts and less steam venting per ton of product, because four units follow steam [inferred from R42]</t>
  </si>
  <si>
    <t>(operations) Runs the one steam-independent unit only in hours where power value exceeds gas + CO2 cost [inferred from R46, R31, R36]</t>
  </si>
  <si>
    <t>(procurement and trading) Cuts purchased kWh at ~13 ct and peak charges, values exports in high-price hours [inferred from R28, R48]</t>
  </si>
  <si>
    <t>(procurement and trading) Lowers average €/MWh gas and €/EUA paid for the ~150 kt of allowances bought each year [inferred from R50, R52]</t>
  </si>
  <si>
    <t>(flexibility) Same kWh at lower price and lower CO2 per ton [inferred from R4, R28]</t>
  </si>
  <si>
    <t>(flexibility) Capacity and activation revenue per MW offered [found R1]</t>
  </si>
  <si>
    <t>(procurement and trading) Buys the cheapest tCO2 avoided per year: biomethane premium vs EUA at ~74 €/t [inferred from R36, R10]</t>
  </si>
  <si>
    <t>(investment) Replaces gas steam in low-price power hours and cuts EUA purchases per ton [inferred from R2, R28, R31]</t>
  </si>
  <si>
    <t>(operations) Delivers contracted heat with the least gas per MWh [inferred from R8, R10]</t>
  </si>
  <si>
    <t>(operations) Prices tenant steam at true marginal cost, moves €/ton off Henkel's books [inferred from R3, R15]</t>
  </si>
  <si>
    <t>(operations) Less gas per ton of steam [inferred from R10]</t>
  </si>
  <si>
    <t>R54</t>
  </si>
  <si>
    <t>Whole-plant energy cost 2025, gas and CO2, denominator for criterion (b)</t>
  </si>
  <si>
    <t>EUR per year</t>
  </si>
  <si>
    <t>derived, see reason</t>
  </si>
  <si>
    <t>own calculation from R50, R31, R52, R36</t>
  </si>
  <si>
    <t>D5 sensitivity year; band I6 values 2024: 0.0332 (S1), 0.0383 (S2)</t>
  </si>
  <si>
    <t>15-min steam and power demand forecast per consumer (Henkel lines, BASF/KLK, district heat) driving CHP unit commitment (incl. district-heat source split, formerly U9)</t>
  </si>
  <si>
    <t>shortlist</t>
  </si>
  <si>
    <t>cut</t>
  </si>
  <si>
    <t>merged into U1</t>
  </si>
  <si>
    <t>ETS compliance forecasting: rolling year-end EUA need and buy-timing per month</t>
  </si>
  <si>
    <t>(procurement and trading) Avoids buying the ~150 kt shortfall at spot in April; spreads purchases over the year to a lower average €/EUA [inferred from R50, R52, R36]</t>
  </si>
  <si>
    <t>R50, R51, R52, R36, R35, R16, R1</t>
  </si>
  <si>
    <t>Monthly verified-emission run-rate, allowance holdings, EUA forward curve, group compliance calendar</t>
  </si>
  <si>
    <t>Group may already forward-buy centrally [guess]; overlaps with #4 if hedging covers EUAs; annual free allocation 61 633 is fixed [found R52], so only timing is optimisable</t>
  </si>
  <si>
    <t>On-site PV and battery: size and dispatch against import price, export value and grid charges</t>
  </si>
  <si>
    <t>(investment) Displaces purchased kWh at ~13 ct and shaves peak charges per ton [inferred from R28, R48]</t>
  </si>
  <si>
    <t>R2, R48, R28, R30, R14, R1</t>
  </si>
  <si>
    <t>Roof and land area, 15-min import profile, grid-connection headroom, CAPEX quotes, export tariff</t>
  </si>
  <si>
    <t>[assumes: roof/land available and grid headroom]; own CHP already covers much of the load [inferred from R48], so PV may mostly displace cheap CHP power, not 13-ct imports; R14 shows 137 122 MWh renewable generation at group level [found], site PV share not known</t>
  </si>
  <si>
    <t>Cut without a score. A cost transfer between Henkel and the tenants, no site saving under D1. Its data (tenant meters, contract formulas) is the first-visit data request.</t>
  </si>
  <si>
    <t>Rests on [assumes: no fixed-price feed-in contract], tier C (a 1). The purchased volume is unknown and peak savings are likely under €0.56 M (b 1). It needs the 15-min import and export data plus the grid contract (c 2). Import and export decisions are the OS's own (d 3). Extension of U2 once the grid contract is known.</t>
  </si>
  <si>
    <t>Rests on [assumes: site procures its own gas and EUAs] (a 1). Hedging lowers the risk and leaves the expected bill unchanged, no net saving under D1 (b 1). It needs volumes and positions from procurement (c 2). A person places the hedges on the OS's analysis (d 2).</t>
  </si>
  <si>
    <t>Rests on [assumes: shiftable electric loads exist] (a 1). Own CHP power dampens the price signal and the products are not power-intensive (b 1). Line load profiles would have to be created (c 1). Shifting loads by the hour is the OS's own decision (d 3).</t>
  </si>
  <si>
    <t>Already started per R10, so reduced to the volume and timing decision. The weakest row is the group target R53 (a 2). A cost of compliance, no net saving under D1 (b 1). It needs biomethane offers and the target path per year (c 2). A person places the purchase (d 2).</t>
  </si>
  <si>
    <t>Rests on [assumes: low-pressure steam share] (a 1). Steam from the CHP costs about €60/MWh in gas and CO2, from an electrode boiler about €130 at 13 ct, it pays only in a few hundred low-price hours (b 1). Capex quotes and steam levels would have to be created (c 1). A one-off investment the OS's data would inform (d 2).</t>
  </si>
  <si>
    <t>The site rows are tier A (a 3). Monitoring alone recovers about 0.5 to 1 % of fuel, €0.3 to 0.56 M with its CO2, at or under the 1 % line (b 1). The control system logs this already (c 3). A person acts on the finding (d 2). Reduced by the already-done rule to the monitoring layer, the efficiency gains themselves are in Henkel's plan (R10).</t>
  </si>
  <si>
    <t>Rests on R35, a tier B price (a 2). Spreading purchases is hedging, it removes risk and leaves the expected cost unchanged, no net saving under D1 (b 1). It needs the emission run-rate plus the registry holdings (c 2). A person places the orders (d 2).</t>
  </si>
  <si>
    <t>Rests on [assumes: roof, land and grid headroom] (a 1). PV displaces the plant's own power, worth about 5.5 ct, and only rarely a 13-ct import, about €0.25 M for 5 MWp (b 1). A roof survey and quotes would have to be created (c 1). A one-off investment the OS's data would inform (d 2).</t>
  </si>
  <si>
    <t>status (shortlist / cut / merged)</t>
  </si>
  <si>
    <t>The site rows are tier A (a 3). A 1 to 3 % fuel saving with its CO2 is €0.56 to 1.7 M a year, my order-of-magnitude guess, checked in calc (b 2). It needs a historian export plus the unit heat rates (c 2). 15-minute unit commitment is what the OS does per R1 (d 3). Takes over the heat dispatch of U9 (D8).</t>
  </si>
  <si>
    <t>Third slot after the tie with U6 at 8 points and (a) 2, U2 has fewer [assumes] tags (D9). The prices are tier B (a 2). 8.6 MW for about 6 000 h at €5 to 15/MWh is €0.26 to 0.8 M, the low end under 1 % (b 1). It needs the unit data plus the gas contract price (c 2). Hourly dispatch of one unit is the OS's own decision (d 3). First step of the market family, U3 and U6 are its extensions.</t>
  </si>
  <si>
    <t>Lost the tie with U2 at 8 points and (a) 2 on the second tie-break, one [assumes] tag on prequalification (D9). The revenue rests on RIZM's own claim R1, external boundary (a 2). About 8 MW at 2025 capacity prices is €0.1 to 0.4 M (b 1). It needs ramp rates and extraction limits from the plant plus aggregator terms (c 2). Offering flexibility by the hour is the OS's own decision (d 3). Extension of U2.</t>
  </si>
  <si>
    <t>Merged into U1 (D8). The heat source split is one of U1's 15-minute unit-commitment decisions, modeled apart it counts the same gas twice. On its own it would have scored 8 with (a) 3. The sale itself is already done, only the hourly split is left. The heat contract data becomes a U1 parameter.</t>
  </si>
  <si>
    <t>name</t>
  </si>
  <si>
    <t>value</t>
  </si>
  <si>
    <t>tier</t>
  </si>
  <si>
    <t>register id</t>
  </si>
  <si>
    <t>BASELINE, whole plant 2025</t>
  </si>
  <si>
    <t>Plant fuel, net (Heizwert)</t>
  </si>
  <si>
    <t>MWh per year</t>
  </si>
  <si>
    <t>R58</t>
  </si>
  <si>
    <t>derived from emissions</t>
  </si>
  <si>
    <t>Gross to net ratio</t>
  </si>
  <si>
    <t>ratio</t>
  </si>
  <si>
    <t>R56</t>
  </si>
  <si>
    <t>Gas price 2025, gross, band I5</t>
  </si>
  <si>
    <t>Gas cost</t>
  </si>
  <si>
    <t>Emissions 2025 (VET)</t>
  </si>
  <si>
    <t>Free allocation 2025</t>
  </si>
  <si>
    <t>EUA price 2025</t>
  </si>
  <si>
    <t>CO2 cost, purchased allowances</t>
  </si>
  <si>
    <t>Energy cost, whole plant</t>
  </si>
  <si>
    <t>Group production volume 2025, derived</t>
  </si>
  <si>
    <t>t per year</t>
  </si>
  <si>
    <t>Site share of group volume, base</t>
  </si>
  <si>
    <t>share</t>
  </si>
  <si>
    <t>R73</t>
  </si>
  <si>
    <t>low R74, high R75</t>
  </si>
  <si>
    <t>Site tons, base</t>
  </si>
  <si>
    <t>Site tons, low</t>
  </si>
  <si>
    <t>R74</t>
  </si>
  <si>
    <t>Site tons, high</t>
  </si>
  <si>
    <t>R75</t>
  </si>
  <si>
    <t>Energy cost per ton, whole plant, base tons</t>
  </si>
  <si>
    <t>EUR per t</t>
  </si>
  <si>
    <t>orientation only, not a use case</t>
  </si>
  <si>
    <t>U1  15-min steam and power forecast driving CHP unit commitment, incl. district-heat source split</t>
  </si>
  <si>
    <t>Fuel cost incl. CO2, net</t>
  </si>
  <si>
    <t>EUR per MWh</t>
  </si>
  <si>
    <t>R59</t>
  </si>
  <si>
    <t>full EUA price, D12</t>
  </si>
  <si>
    <t>Plant fuel, net</t>
  </si>
  <si>
    <t>Fuel share saved, base</t>
  </si>
  <si>
    <t>R60</t>
  </si>
  <si>
    <t>District heat delivered, derived</t>
  </si>
  <si>
    <t>MWh heat per year</t>
  </si>
  <si>
    <t>R63</t>
  </si>
  <si>
    <t>Share of CHP top-up moved to waste heat, base</t>
  </si>
  <si>
    <t>R64</t>
  </si>
  <si>
    <t>Cost difference CHP heat vs waste heat</t>
  </si>
  <si>
    <t>EUR per MWh heat</t>
  </si>
  <si>
    <t>R67</t>
  </si>
  <si>
    <t>Operating effort</t>
  </si>
  <si>
    <t>R68</t>
  </si>
  <si>
    <t>Annual saving, base</t>
  </si>
  <si>
    <t>net of operating effort</t>
  </si>
  <si>
    <t>Annual product tons, base</t>
  </si>
  <si>
    <t>= site tons base</t>
  </si>
  <si>
    <t>€ per ton, base</t>
  </si>
  <si>
    <t>range through tons in the two rows below</t>
  </si>
  <si>
    <t>€ per ton, high tons (R75)</t>
  </si>
  <si>
    <t>lower bound from tons</t>
  </si>
  <si>
    <t>€ per ton, low tons (R74)</t>
  </si>
  <si>
    <t>upper bound from tons</t>
  </si>
  <si>
    <t>Sensitivity 1: fuel share low</t>
  </si>
  <si>
    <t>R61</t>
  </si>
  <si>
    <t>saving with R61 instead of R60</t>
  </si>
  <si>
    <t>Sensitivity 1: fuel share high</t>
  </si>
  <si>
    <t>R62</t>
  </si>
  <si>
    <t>saving with R62 instead of R60</t>
  </si>
  <si>
    <t>Sensitivity 2: heat share low</t>
  </si>
  <si>
    <t>R65</t>
  </si>
  <si>
    <t>saving with R65 instead of R64</t>
  </si>
  <si>
    <t>Sensitivity 2: heat share high</t>
  </si>
  <si>
    <t>R66</t>
  </si>
  <si>
    <t>saving with R66 instead of R64</t>
  </si>
  <si>
    <t>Sanity check: 3 % of fuel cost</t>
  </si>
  <si>
    <t>thread 04 cap on the fuel term, tagged guess; the base fuel term must stay below it (the high case sits at it by construction)</t>
  </si>
  <si>
    <t>U11  Boiler and turbine efficiency monitoring</t>
  </si>
  <si>
    <t>Gas turbine net capacity</t>
  </si>
  <si>
    <t>Gas turbine electric efficiency</t>
  </si>
  <si>
    <t>R69</t>
  </si>
  <si>
    <t>Gas turbine run hours, current rule</t>
  </si>
  <si>
    <t>h per year</t>
  </si>
  <si>
    <t>R70</t>
  </si>
  <si>
    <t>site-visit</t>
  </si>
  <si>
    <t>Gas turbine fuel</t>
  </si>
  <si>
    <t>Boiler fuel</t>
  </si>
  <si>
    <t>Fuel share recovered, base</t>
  </si>
  <si>
    <t>R71</t>
  </si>
  <si>
    <t>R72</t>
  </si>
  <si>
    <t>Sanity check: 3 % of boiler fuel cost</t>
  </si>
  <si>
    <t>top of the 1 to 3 % range inferred in thread 04</t>
  </si>
  <si>
    <t>U2  Gas turbine dispatch on the day-ahead and intraday spread (sketch, D8: formula and parameters, no result)</t>
  </si>
  <si>
    <t>Heat-to-power ratio of the gas turbine</t>
  </si>
  <si>
    <t>MWh heat per MWh power</t>
  </si>
  <si>
    <t>Boiler efficiency</t>
  </si>
  <si>
    <t>R76</t>
  </si>
  <si>
    <t>Hourly value of power</t>
  </si>
  <si>
    <t>R78</t>
  </si>
  <si>
    <t>site-visit: import/export split per hour</t>
  </si>
  <si>
    <t>Run hours under the current rule</t>
  </si>
  <si>
    <t>Start cost</t>
  </si>
  <si>
    <t>EUR per start</t>
  </si>
  <si>
    <t>R77</t>
  </si>
  <si>
    <t>R79</t>
  </si>
  <si>
    <t>Break-even power value for one more run hour</t>
  </si>
  <si>
    <t>Annual saving</t>
  </si>
  <si>
    <t>no result: hourly price series and the current run rule are site-visit items (R78, R70)</t>
  </si>
  <si>
    <t>calc baseline, tons for every €/ton</t>
  </si>
  <si>
    <t>2024 check: (220463+55988)/0.0304 = 9 093 000, within 1 % of 2025; the KPI's scope is not exactly the table's; the site share of this volume is a site-visit item (R73 to R75)</t>
  </si>
  <si>
    <t>right basis for an ETS plant: no BEHG levy, energy tax on CHP fuel largely refunded (my knowledge, not sourced); band check on gross basis: R50 at 0.2010 tCO2 per MWh (net, R55) is 1 050 000 MWh net, times 1.108 = 1 163 000 MWh gross = 4.2 million GJ, so the plant sits in band I6 (4 million GJ or over), whose 2025 values are 0.0457 (S1) and 0.0379 (S2); I5 kept as the main row because the site's own gas volume is not public and the yearly averages differ by 8 % (0.0388 vs 0.0418); Eurostat prices are per kWh gross, fuel from R50 is net, convert with R56</t>
  </si>
  <si>
    <t>net capacity as the number the calc uses; the rest of the export line stays in value_in_source</t>
  </si>
  <si>
    <t>gas: 211 078 tCO2 / 0.2010 tCO2 per MWh (net, R55) = 1 050 000 MWh net × 1.108 (R56) = 1 163 000 MWh gross × 0.03875 EUR per kWh (gross, R31) = 45.1 million; CO2: (211 078 − 61 633) × 74 = 11.1 million; total about 56 million</t>
  </si>
  <si>
    <t>usecases score_b; calc baseline</t>
  </si>
  <si>
    <t>fixed before scoring, per D2; whole plant incl. steam and power for third parties, purchased electricity not included (volume unknown); Henkel's own share is 20 to 100 % of it (R15); 5 % = 2.8 million, 1 % = 0.56 million; 0.2010 tCO2 per MWh is the German average emission factor on net calorific value (R55), 1.108 converts net to gross (R56) because Eurostat prices are per kWh gross</t>
  </si>
  <si>
    <t>R55</t>
  </si>
  <si>
    <t>Emission factor natural gas, German average weighted from ETS data, net calorific value</t>
  </si>
  <si>
    <t>55,83 t CO2/TJ and 200,99 g CO2/kWh (Hi), EF gesamt 2020, Table 22, p. 49</t>
  </si>
  <si>
    <t>tCO2 per MWh, net (Heizwert)</t>
  </si>
  <si>
    <t>200.99 g per kWh = 0.2010 t per MWh, rounded</t>
  </si>
  <si>
    <t>S19 UBA Climate Change 28/2022, CO2-Emissionsfaktoren für fossile Brennstoffe</t>
  </si>
  <si>
    <t>https://www.umweltbundesamt.de/system/files/medien/11850/publikationen/28_2022_cc.pdf</t>
  </si>
  <si>
    <t>Die in der Tabelle 22 angegebenen Emissionsfaktoren pro TJ und pro kWh beziehen sich auf den unteren Heizwert (Hi).</t>
  </si>
  <si>
    <t>R58, R59, calc baseline, U1, U11, U2</t>
  </si>
  <si>
    <t>2020 is the latest year in the table; H-gas by origin 55.3 to 57.3 (Table 21, p. 47), IPCC default 56.1 (p. 48), so the fuel derived from emissions is good to about 1 %</t>
  </si>
  <si>
    <t>Gross to net calorific value ratio, natural gas, German average</t>
  </si>
  <si>
    <t>1,108 (p. 49)</t>
  </si>
  <si>
    <t>ratio, gross over net</t>
  </si>
  <si>
    <t>Für einen gesamtdeutschen Durchschnittswert kann mit einem Umrechnungsfaktor von 1,108 als Verhältnis zwischen dem unteren Heizwert und dem Brennwert gerechnet werden.</t>
  </si>
  <si>
    <t>Eurostat gas prices are per kWh gross (Brennwert), fuel from emissions is net (Heizwert); every gas cost formula goes through this row; Table 21 gives 1.10 to 1.11 for single H-gas origins</t>
  </si>
  <si>
    <t>R59, calc baseline</t>
  </si>
  <si>
    <t>Plant fuel 2025, net basis, derived from emissions</t>
  </si>
  <si>
    <t>MWh per year, net (Heizwert)</t>
  </si>
  <si>
    <t>derived: R50 divided by R55, rounded to 1 000</t>
  </si>
  <si>
    <t>own calculation from R50, R55</t>
  </si>
  <si>
    <t>calc baseline, U1, U11</t>
  </si>
  <si>
    <t>whole plant, all fuels of the ETS installation (gas only since the coal exit, R10); weakest input is tier B</t>
  </si>
  <si>
    <t>Fuel cost incl. CO2 2025, per MWh net</t>
  </si>
  <si>
    <t>EUR per MWh, net (Heizwert)</t>
  </si>
  <si>
    <t>U1, U11, U2</t>
  </si>
  <si>
    <t>the marginal cost of one MWh of fuel; the full EUA price applies because the plant buys about 149 000 allowances a year, so every ton saved is one allowance less to buy (D12)</t>
  </si>
  <si>
    <t>Fuel share saved by forecast-driven unit commitment, base</t>
  </si>
  <si>
    <t>not public; the model skeleton (thread 04) puts the combined effect of fewer starts, less venting and better load allocation at 0.5 to 3 % of fuel, tagged as a guess</t>
  </si>
  <si>
    <t>share of R58</t>
  </si>
  <si>
    <t>own estimate, middle of the range</t>
  </si>
  <si>
    <t>own estimate, thread 04 skeleton as the only benchmark</t>
  </si>
  <si>
    <t>U1 base</t>
  </si>
  <si>
    <t>dominant for U1; low R61, high R62; site-visit: start counts, start fuel, vented steam from the historian; physical cap = today's start fuel plus venting plus CHP heat sent to district heat in hours with spare waste heat</t>
  </si>
  <si>
    <t>Fuel share saved by forecast-driven unit commitment, low</t>
  </si>
  <si>
    <t>see R60</t>
  </si>
  <si>
    <t>low end of the range</t>
  </si>
  <si>
    <t>own estimate</t>
  </si>
  <si>
    <t>U1 low</t>
  </si>
  <si>
    <t>Fuel share saved by forecast-driven unit commitment, high</t>
  </si>
  <si>
    <t>high end of the range</t>
  </si>
  <si>
    <t>U1 high</t>
  </si>
  <si>
    <t>District heat delivered to Stadtwerke Düsseldorf, derived</t>
  </si>
  <si>
    <t>CO2-Emissionen der Stadt Düsseldorf sinken dadurch um jährlich etwa 6.500 Tonnen (S6)</t>
  </si>
  <si>
    <t>CO2-Emissionen der Stadt Düsseldorf sinken dadurch um jährlich etwa 6.500 Tonnen</t>
  </si>
  <si>
    <t>heat volume itself is not public; if the displaced heat was partly coal-fired the volume is smaller; site-visit: contract volume</t>
  </si>
  <si>
    <t>Share of the CHP top-up heat for district heat that better dispatch moves to waste heat, base</t>
  </si>
  <si>
    <t>not public; the press release says CHP heat is added "bei Bedarf" (S6)</t>
  </si>
  <si>
    <t>share of R63</t>
  </si>
  <si>
    <t>dominant for U1; low R65, high R66; site-visit: hourly log of the energy centre since April 2026</t>
  </si>
  <si>
    <t>Share of CHP top-up heat moved to waste heat, low</t>
  </si>
  <si>
    <t>see R64</t>
  </si>
  <si>
    <t>low end</t>
  </si>
  <si>
    <t>Share of CHP top-up heat moved to waste heat, high</t>
  </si>
  <si>
    <t>high end</t>
  </si>
  <si>
    <t>Cost difference per MWh of heat, CHP heat vs waste heat</t>
  </si>
  <si>
    <t>derived: back-pressure heat costs fuel (R59) minus the value of the co-produced power (80 EUR per MWh × 0.20 MWh power per MWh fuel), divided by 0.65 MWh heat per MWh fuel (0.85 total per R38 minus 0.20 power); waste heat costs about 2 EUR per MWh for pumping</t>
  </si>
  <si>
    <t>own calculation from R59, R38</t>
  </si>
  <si>
    <t>Operating effort U1</t>
  </si>
  <si>
    <t>not public</t>
  </si>
  <si>
    <t>own estimate: software licence, about 0.3 FTE for data and model upkeep, meter maintenance</t>
  </si>
  <si>
    <t>the model skeleton lists licence, 0.2 to 0.5 FTE and meter retrofits, tagged as a guess; RIZM pricing not public</t>
  </si>
  <si>
    <t>Gas turbine electric efficiency, net calorific value</t>
  </si>
  <si>
    <t>MWh power per MWh fuel, net</t>
  </si>
  <si>
    <t>Gas turbine run hours 2025 under the current dispatch rule</t>
  </si>
  <si>
    <t>placeholder</t>
  </si>
  <si>
    <t>U11 (GT fuel), U2</t>
  </si>
  <si>
    <t>site-visit; used only to split the plant fuel into gas turbine and boilers for U11</t>
  </si>
  <si>
    <t>Fuel share recovered by efficiency monitoring, base</t>
  </si>
  <si>
    <t>share of boiler fuel</t>
  </si>
  <si>
    <t>Operating effort U11</t>
  </si>
  <si>
    <t>own estimate: flue gas analysers and sensors, about 0.2 FTE</t>
  </si>
  <si>
    <t>the skeleton lists analysers, sensors and 0.1 to 0.3 FTE, tagged as a guess</t>
  </si>
  <si>
    <t>Site share of group production volume, base</t>
  </si>
  <si>
    <t>share of R19</t>
  </si>
  <si>
    <t>calc tons base</t>
  </si>
  <si>
    <t>Site share of group production volume, low</t>
  </si>
  <si>
    <t>see R73</t>
  </si>
  <si>
    <t>calc tons low</t>
  </si>
  <si>
    <t>Site share of group production volume, high</t>
  </si>
  <si>
    <t>calc tons high</t>
  </si>
  <si>
    <t>Boiler efficiency, net calorific value</t>
  </si>
  <si>
    <t>MWh steam per MWh fuel, net</t>
  </si>
  <si>
    <t>U2 sketch</t>
  </si>
  <si>
    <t>Gas turbine start cost</t>
  </si>
  <si>
    <t>site-visit: fuel per start and maintenance factor; not used in a result</t>
  </si>
  <si>
    <t>Hourly value of gas turbine power (export at day-ahead, import at avoided purchase price)</t>
  </si>
  <si>
    <t>not fetched</t>
  </si>
  <si>
    <t>EUR per MWh, hourly series</t>
  </si>
  <si>
    <t>placeholder, the hourly series is not in the register</t>
  </si>
  <si>
    <t>Operating effort U2</t>
  </si>
  <si>
    <t>own estimate: dispatch tool licence, about 0.2 FTE</t>
  </si>
  <si>
    <t>the skeleton lists licence and 0.1 to 0.3 FTE, tagged as a guess</t>
  </si>
  <si>
    <t>S19</t>
  </si>
  <si>
    <t>UBA Climate Change 28/2022, CO2-Emissionsfaktoren für fossile Brennstoffe (Juhrich), PDF, 52 pages</t>
  </si>
  <si>
    <t>p. 49: Table 22, German average emission factor for natural gas weighted from ETS data, 2020: 55.83 tCO2 per TJ, 200.99 g per kWh on net calorific value (R55); same page: conversion factor 1.108 between net and gross calorific value (R56); p. 48: range 55.7 to 55.9 and IPCC default 56.1</t>
  </si>
  <si>
    <t>calculation: (R15 used by Henkel + R17 market-based) / R18, for 2025 and 2024</t>
  </si>
  <si>
    <t>yearly average of the two half-years, the calc needs one number</t>
  </si>
  <si>
    <t>R54, R59, calc baseline</t>
  </si>
  <si>
    <t>calculation: 211 078 / 0.2010</t>
  </si>
  <si>
    <t>calculation: 0.03875 × 1000 × 1.108 + 0.2010 × 74 = 42.9 + 14.9</t>
  </si>
  <si>
    <t>derived: gas price on gross basis converted to net (R31 × R56), plus CO2 at the full EUA price (R55 × R36), see D12</t>
  </si>
  <si>
    <t>own calculation from R55, R56, R31, R36</t>
  </si>
  <si>
    <t>calculation: (57.8 − 80 × 0.20) / 0.65 − 2 = 62, rounded to 60</t>
  </si>
  <si>
    <t>R80</t>
  </si>
  <si>
    <t>R80, usecases U12 (a)</t>
  </si>
  <si>
    <t>Fuel cost incl. CO2 at 2024 prices, per MWh net</t>
  </si>
  <si>
    <t>calculation: 0.03895 × 1000 × 1.108 + 0.2010 × 65 = 43.2 + 13.1</t>
  </si>
  <si>
    <t>derived like R59 with the 2024 gas price (R32) and the 2024 EUA price (R35); the D5 sensitivity year for the top use case</t>
  </si>
  <si>
    <t>own calculation from R32, R35, R55, R56</t>
  </si>
  <si>
    <t>U1 sensitivity 3</t>
  </si>
  <si>
    <t>gas almost unchanged between the years, the EUA price carries the difference; the heat term of U1 is kept at 2025 cost, second order</t>
  </si>
  <si>
    <t>yearly average of the two half-years in R31</t>
  </si>
  <si>
    <t>Sensitivity 3: 2024 prices (D5)</t>
  </si>
  <si>
    <t>fuel cost at 2024 gas and EUA prices instead of R59, heat term unchanged</t>
  </si>
  <si>
    <t>symbol</t>
  </si>
  <si>
    <t>F</t>
  </si>
  <si>
    <t>r</t>
  </si>
  <si>
    <t>c_g</t>
  </si>
  <si>
    <t>C_gas</t>
  </si>
  <si>
    <t>C_gas = F × r × c_g × 1000</t>
  </si>
  <si>
    <t>E</t>
  </si>
  <si>
    <t>P_EUA</t>
  </si>
  <si>
    <t>C_CO2</t>
  </si>
  <si>
    <t>C_CO2 = (E − A) × P_EUA</t>
  </si>
  <si>
    <t>C_E</t>
  </si>
  <si>
    <t>C_E = C_gas + C_CO2; equals R54, fixed before scoring</t>
  </si>
  <si>
    <t>T_group</t>
  </si>
  <si>
    <t>s</t>
  </si>
  <si>
    <t>T</t>
  </si>
  <si>
    <t>T = T_group × s</t>
  </si>
  <si>
    <t>T_low</t>
  </si>
  <si>
    <t>T_group × low share</t>
  </si>
  <si>
    <t>T_high</t>
  </si>
  <si>
    <t>T_group × high share</t>
  </si>
  <si>
    <t>C_E / T</t>
  </si>
  <si>
    <t>S1 = c_f × F × σ + Q_dh × φ × Δm − O1</t>
  </si>
  <si>
    <t>fuel cost × plant fuel × fuel share saved + district heat × share moved to waste heat × cost difference − operating effort</t>
  </si>
  <si>
    <t>c_f</t>
  </si>
  <si>
    <t>σ</t>
  </si>
  <si>
    <t>dominant parameter 1; low R61, high R62</t>
  </si>
  <si>
    <t>Q_dh</t>
  </si>
  <si>
    <t>φ</t>
  </si>
  <si>
    <t>dominant parameter 2; low R65, high R66</t>
  </si>
  <si>
    <t>Δm</t>
  </si>
  <si>
    <t>O1</t>
  </si>
  <si>
    <t>S1 / T</t>
  </si>
  <si>
    <t>S1 / T_high</t>
  </si>
  <si>
    <t>S1 / T_low</t>
  </si>
  <si>
    <t>S1(σ_low)</t>
  </si>
  <si>
    <t>S1(σ_high)</t>
  </si>
  <si>
    <t>S1(φ_low)</t>
  </si>
  <si>
    <t>S1(φ_high)</t>
  </si>
  <si>
    <t>S1(c_f,2024)</t>
  </si>
  <si>
    <t>0.03 × c_f × F</t>
  </si>
  <si>
    <t>S11 = c_f × F_B × s11 − O11</t>
  </si>
  <si>
    <t>fuel cost × boiler fuel × share recovered − operating effort</t>
  </si>
  <si>
    <t>P</t>
  </si>
  <si>
    <t>η_GT</t>
  </si>
  <si>
    <t>h_now</t>
  </si>
  <si>
    <t>F_GT</t>
  </si>
  <si>
    <t>F_GT = P / 1000 / η_GT × h_now</t>
  </si>
  <si>
    <t>F_B</t>
  </si>
  <si>
    <t>F_B = F − F_GT</t>
  </si>
  <si>
    <t>s11</t>
  </si>
  <si>
    <t>dominant parameter; low 0.005, high 0.02 in the register note</t>
  </si>
  <si>
    <t>O11</t>
  </si>
  <si>
    <t>S11 / T</t>
  </si>
  <si>
    <t>S11 / T_high</t>
  </si>
  <si>
    <t>S11 / T_low</t>
  </si>
  <si>
    <t>0.03 × c_f × F_B</t>
  </si>
  <si>
    <t>S2 = Σ_h [ P × (v_h − c_f / η_GT + q × c_f / η_B) ]⁺ × (x_opt,h − x_now,h) − n_st × k_st − O2</t>
  </si>
  <si>
    <t>sum over hours of the positive margin of running the turbine, counted only in hours where the optimal plan differs from today's rule, minus starts and operating effort</t>
  </si>
  <si>
    <t>η_tot</t>
  </si>
  <si>
    <t>q</t>
  </si>
  <si>
    <t>q = (η_tot − η_GT) / η_GT</t>
  </si>
  <si>
    <t>η_B</t>
  </si>
  <si>
    <t>v_h</t>
  </si>
  <si>
    <t>x_now</t>
  </si>
  <si>
    <t>k_st</t>
  </si>
  <si>
    <t>O2</t>
  </si>
  <si>
    <t>v_be</t>
  </si>
  <si>
    <t>the two lines add up to the gross total; the third-party part is largely the Düsseldorf tenants, my reading; Henkel's own share of the plant's emissions (R50) is not public; group natural gas consumption 2025 is 685 372 MWh (energy table, p. 203 to 204), below the plant's fuel (R58), so if all third-party Scope 1 comes from this plant Henkel's own share is about 42 000 t, 20 %</t>
  </si>
  <si>
    <t>R67, U2</t>
  </si>
  <si>
    <t>U11, U2</t>
  </si>
  <si>
    <t>R54, R58, calc baseline</t>
  </si>
  <si>
    <t>R54, calc baseline</t>
  </si>
  <si>
    <t>derived: 6 500 tCO2 / 0.2010 tCO2 per MWh fuel (R55) × 0.92 boiler efficiency (R76) = 29 700, rounded; assumes the displaced Stadtwerke heat was gas-fired</t>
  </si>
  <si>
    <t>S6 Henkel press release 2026-04-13 and own calculation from R55, R76</t>
  </si>
  <si>
    <t>the four inputs (0.20, 0.65, 80, 2) are my estimates; power value 80 sits between export at spot and import at R28; the split barely matters: 0.15/0.70 gives 63, 0.25/0.60 gives 61; the power value does: at 0.13 EUR per kWh the difference drops to about 38</t>
  </si>
  <si>
    <t>own estimate: one of the two largest of 165 production sites (R20, R81)</t>
  </si>
  <si>
    <t>site-visit: site tonnage; low R74, high R75; every €/ton result is a range through this row (D1); 165 sites, 35 of them Consumer Brands (R81), so the average Consumer Brands site makes about 0.2 Mt; my estimate that the second largest makes 3 to 6 times that, because above 6 times the other 33 sites would be left with too little for plants that serve whole markets</t>
  </si>
  <si>
    <t>R63, U2 sketch</t>
  </si>
  <si>
    <t>placeholder, no source</t>
  </si>
  <si>
    <t>the series would come from EPEX SPOT day-ahead 2025 (public) plus the site's hourly import/export split (site-visit); the first sensitivity to run once the split is known (thread 04 sanity note); not used in a result</t>
  </si>
  <si>
    <t>R81</t>
  </si>
  <si>
    <t>Number of production sites 2025, group and per business unit</t>
  </si>
  <si>
    <t>Adhesive Technologies 130, Consumer Brands 35, Total 165 (at December 31)</t>
  </si>
  <si>
    <t>sites</t>
  </si>
  <si>
    <t>In 2025, Henkel manufactured products at 165 sites in 53 countries.</t>
  </si>
  <si>
    <t>R73 to R75 reasoning, write-up</t>
  </si>
  <si>
    <t>35 Consumer Brands sites carry most of the tonnage, my reading; used only to size the site's share of group tons</t>
  </si>
  <si>
    <t>the bracket of row 58 set to zero and solved for v_h, my rearrangement of the thread's formula: v_be = c_f / η_GT − q × c_f / η_B; the GT pays in every hour with power worth more than this</t>
  </si>
  <si>
    <t>S20</t>
  </si>
  <si>
    <t>DOE Steam Tip Sheet 4, Improve Your Boiler's Combustion Efficiency, DOE/GO-102012-3405, January 2012, PDF, 2 pages</t>
  </si>
  <si>
    <t>https://www.energy.gov/sites/prod/files/2014/05/f16/steam4_boiler_efficiency.pdf</t>
  </si>
  <si>
    <t>sentence "boiler efficiency can be increased by 1% for each 15% reduction in excess air or 40°F reduction in stack gas temperature" (R71); combustion efficiency table for natural gas, gross calorific value basis, top value 85.4 %; no 90 to 94 % figure (R76)</t>
  </si>
  <si>
    <t>S21</t>
  </si>
  <si>
    <t>DOE Steam Tip Sheet 7, Clean Boiler Waterside Heat Transfer Surfaces, DOE/GO-10099-952, June 2001, PDF</t>
  </si>
  <si>
    <t>https://www.nrel.gov/docs/fy01osti/27653.pdf</t>
  </si>
  <si>
    <t>scale of 1/32 inch (0.8 mm) on the boiler tubes: fuel loss of 2 % (R71)</t>
  </si>
  <si>
    <t>S22</t>
  </si>
  <si>
    <t>DOE Combined Heat and Power Technology Fact Sheet Series, Gas Turbines, DOE/EE-2841, April 2024, PDF</t>
  </si>
  <si>
    <t>https://betterbuildingssolutioncenter.energy.gov/sites/default/files/attachments/CHP_Gas_Turbines.pdf</t>
  </si>
  <si>
    <t>Table 2, p. 3 to 4: 8 MW class, net 7.92 MW, electric efficiency 30.6 %, CHP efficiency 70.9 %, power to heat 0.76, all on gross calorific value ("All calculations are based on HHV of fuel"); electric efficiency 22.3 to 34.7 % across 2 to 25 MW; "CHP efficiencies ... for gas turbines without duct burners range from 63% to 71%" (R69)</t>
  </si>
  <si>
    <t>S22 Table 2, 8 MW class (net 7.92 MW): electric efficiency 30.6 % on gross calorific value, 33.9 % on net (times 1.108, R56); across 2 to 25 MW 22.3 to 34.7 % gross. The thread's "28 to 34 %" is not a sentence in the sheet</t>
  </si>
  <si>
    <t>my estimate kept, it sits inside the sheet's span and below its 8 MW class; a lower efficiency puts more of the plant fuel into the turbine and less into the boilers, which makes U11 smaller and lifts the U2 break-even, so the number is on the careful side for both cases</t>
  </si>
  <si>
    <t>own estimate; S22 opened as the benchmark</t>
  </si>
  <si>
    <t>All calculations are based on HHV of fuel.</t>
  </si>
  <si>
    <t>at 0.34 (the 8 MW class on net basis) U11 rises by about 12 000 EUR per year and v_be in U2 falls from 77.5 to 75.8 EUR per MWh; site-visit: heat rate from the plant</t>
  </si>
  <si>
    <t>not public; the skeleton infers 1 to 3 % of boiler fuel from two DOE per-effect figures, both found in the opened sheets: 1 % boiler efficiency per 15 % less excess air or 40 °F (22 °C) lower stack temperature (S20), 2 % fuel loss from 1/32 inch (0.8 mm) of scale (S21); the 1 to 3 % itself is the thread's inference, not a sentence in either sheet; only the detection-time gain counts (R10)</t>
  </si>
  <si>
    <t>own estimate at the low end of the inferred range, the plant already runs an efficiency program (R10)</t>
  </si>
  <si>
    <t>own estimate; per-effect figures from S20 and S21</t>
  </si>
  <si>
    <t>boiler efficiency can be increased by 1% for each 15% reduction in excess air or 40°F reduction in stack gas temperature</t>
  </si>
  <si>
    <t>dominant for U11; low 0.005, high 0.02 in the note only (ranges only for the top case, scope note in README); site-visit: current inspection cycle, stack temperature and O2 logs</t>
  </si>
  <si>
    <t>S20 has no 90 to 94 % figure; its combustion efficiency table for natural gas tops at 85.4 % on gross calorific value, 94.6 % on net (times 1.108, R56); 0.92 net is 0.83 gross, a fuel-to-steam efficiency a few points under the table's combustion efficiency, which leaves out radiation and blowdown losses</t>
  </si>
  <si>
    <t>my estimate kept; the range the thread attributed to the tip sheet is not in it</t>
  </si>
  <si>
    <t>own estimate; S20 opened as a check</t>
  </si>
  <si>
    <t>at 0.90, R63 drops to 29 000 MWh and U1 by about 12 000 EUR per year, v_be in U2 falls from 77.5 to 74.9 EUR per MWh; site-visit: boiler test records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</si>
</sst>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F67F4A-D92E-3849-A723-61CA9B742610}">
  <we:reference id="wa200009404" version="1.0.0.8" store="en-US" storeType="OMEX"/>
  <we:alternateReferences>
    <we:reference id="WA200009404" version="1.0.0.8" store="" storeType="OMEX"/>
  </we:alternateReferences>
  <we:properties>
    <we:property name="claude.fileId" value="&quot;6ce959ef-72a1-4fbc-9dab-04d1ace8954c&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3F379-48E7-3D42-A569-F86824463BD7}">
  <dimension ref="A1:F23"/>
  <sheetViews>
    <sheetView workbookViewId="0">
      <selection activeCell="F23" sqref="F23"/>
    </sheetView>
  </sheetViews>
  <sheetFormatPr baseColWidth="10" defaultRowHeight="16" x14ac:dyDescent="0.2"/>
  <cols>
    <col min="2" max="2" width="24" bestFit="1" customWidth="1"/>
    <col min="3" max="3" width="31.33203125" bestFit="1" customWidth="1"/>
    <col min="4" max="5" width="10.1640625" customWidth="1"/>
    <col min="6" max="6" width="44.5" customWidth="1"/>
  </cols>
  <sheetData>
    <row r="1" spans="1:6" x14ac:dyDescent="0.2">
      <c r="A1" t="s">
        <v>0</v>
      </c>
      <c r="B1" t="s">
        <v>1</v>
      </c>
      <c r="C1" t="s">
        <v>2</v>
      </c>
      <c r="D1" t="s">
        <v>251</v>
      </c>
      <c r="E1" t="s">
        <v>3</v>
      </c>
      <c r="F1" t="s">
        <v>4</v>
      </c>
    </row>
    <row r="2" spans="1:6" x14ac:dyDescent="0.2">
      <c r="A2" t="s">
        <v>28</v>
      </c>
      <c r="B2" t="s">
        <v>37</v>
      </c>
      <c r="C2" t="s">
        <v>38</v>
      </c>
      <c r="D2" t="s">
        <v>39</v>
      </c>
      <c r="E2" s="1">
        <v>46290</v>
      </c>
      <c r="F2" t="s">
        <v>40</v>
      </c>
    </row>
    <row r="3" spans="1:6" x14ac:dyDescent="0.2">
      <c r="A3" t="s">
        <v>29</v>
      </c>
      <c r="B3" t="s">
        <v>41</v>
      </c>
      <c r="C3" t="s">
        <v>42</v>
      </c>
      <c r="D3" t="s">
        <v>39</v>
      </c>
      <c r="E3" s="1">
        <v>46290</v>
      </c>
      <c r="F3" t="s">
        <v>43</v>
      </c>
    </row>
    <row r="4" spans="1:6" x14ac:dyDescent="0.2">
      <c r="A4" t="s">
        <v>30</v>
      </c>
      <c r="B4" t="s">
        <v>44</v>
      </c>
      <c r="C4" t="s">
        <v>45</v>
      </c>
      <c r="D4" t="s">
        <v>39</v>
      </c>
      <c r="E4" s="1">
        <v>46290</v>
      </c>
      <c r="F4" t="s">
        <v>48</v>
      </c>
    </row>
    <row r="5" spans="1:6" x14ac:dyDescent="0.2">
      <c r="A5" t="s">
        <v>46</v>
      </c>
      <c r="B5" t="s">
        <v>49</v>
      </c>
      <c r="C5" t="s">
        <v>50</v>
      </c>
      <c r="D5" t="s">
        <v>39</v>
      </c>
      <c r="E5" s="1">
        <v>46290</v>
      </c>
      <c r="F5" t="s">
        <v>252</v>
      </c>
    </row>
    <row r="6" spans="1:6" x14ac:dyDescent="0.2">
      <c r="A6" t="s">
        <v>47</v>
      </c>
      <c r="B6" t="s">
        <v>51</v>
      </c>
      <c r="C6" t="s">
        <v>52</v>
      </c>
      <c r="D6" t="s">
        <v>39</v>
      </c>
      <c r="E6" s="1">
        <v>46290</v>
      </c>
      <c r="F6" t="s">
        <v>53</v>
      </c>
    </row>
    <row r="7" spans="1:6" x14ac:dyDescent="0.2">
      <c r="A7" t="s">
        <v>253</v>
      </c>
      <c r="B7" t="s">
        <v>254</v>
      </c>
      <c r="C7" t="s">
        <v>79</v>
      </c>
      <c r="D7" t="s">
        <v>39</v>
      </c>
      <c r="E7" s="1">
        <v>46290</v>
      </c>
      <c r="F7" t="s">
        <v>255</v>
      </c>
    </row>
    <row r="8" spans="1:6" x14ac:dyDescent="0.2">
      <c r="A8" t="s">
        <v>256</v>
      </c>
      <c r="B8" t="s">
        <v>257</v>
      </c>
      <c r="C8" t="s">
        <v>87</v>
      </c>
      <c r="D8" t="s">
        <v>39</v>
      </c>
      <c r="E8" s="1">
        <v>46290</v>
      </c>
      <c r="F8" t="s">
        <v>258</v>
      </c>
    </row>
    <row r="9" spans="1:6" x14ac:dyDescent="0.2">
      <c r="A9" t="s">
        <v>259</v>
      </c>
      <c r="B9" t="s">
        <v>260</v>
      </c>
      <c r="C9" t="s">
        <v>215</v>
      </c>
      <c r="D9" t="s">
        <v>39</v>
      </c>
      <c r="E9" s="1">
        <v>46290</v>
      </c>
      <c r="F9" t="s">
        <v>261</v>
      </c>
    </row>
    <row r="10" spans="1:6" x14ac:dyDescent="0.2">
      <c r="A10" t="s">
        <v>262</v>
      </c>
      <c r="B10" t="s">
        <v>263</v>
      </c>
      <c r="C10" t="s">
        <v>153</v>
      </c>
      <c r="D10" t="s">
        <v>39</v>
      </c>
      <c r="E10" s="1">
        <v>46290</v>
      </c>
      <c r="F10" t="s">
        <v>264</v>
      </c>
    </row>
    <row r="11" spans="1:6" x14ac:dyDescent="0.2">
      <c r="A11" t="s">
        <v>265</v>
      </c>
      <c r="B11" t="s">
        <v>266</v>
      </c>
      <c r="C11" t="s">
        <v>171</v>
      </c>
      <c r="D11" t="s">
        <v>39</v>
      </c>
      <c r="E11" s="1">
        <v>46290</v>
      </c>
      <c r="F11" t="s">
        <v>267</v>
      </c>
    </row>
    <row r="12" spans="1:6" x14ac:dyDescent="0.2">
      <c r="A12" t="s">
        <v>268</v>
      </c>
      <c r="B12" t="s">
        <v>269</v>
      </c>
      <c r="C12" t="s">
        <v>181</v>
      </c>
      <c r="D12" t="s">
        <v>39</v>
      </c>
      <c r="E12" s="1">
        <v>46290</v>
      </c>
      <c r="F12" t="s">
        <v>270</v>
      </c>
    </row>
    <row r="13" spans="1:6" x14ac:dyDescent="0.2">
      <c r="A13" t="s">
        <v>271</v>
      </c>
      <c r="B13" t="s">
        <v>272</v>
      </c>
      <c r="C13" t="s">
        <v>273</v>
      </c>
      <c r="D13" t="s">
        <v>274</v>
      </c>
      <c r="E13" s="1">
        <v>46290</v>
      </c>
      <c r="F13" t="s">
        <v>275</v>
      </c>
    </row>
    <row r="14" spans="1:6" x14ac:dyDescent="0.2">
      <c r="A14" t="s">
        <v>276</v>
      </c>
      <c r="B14" t="s">
        <v>277</v>
      </c>
      <c r="C14" t="s">
        <v>236</v>
      </c>
      <c r="D14" t="s">
        <v>39</v>
      </c>
      <c r="E14" s="1">
        <v>46290</v>
      </c>
      <c r="F14" t="s">
        <v>278</v>
      </c>
    </row>
    <row r="15" spans="1:6" x14ac:dyDescent="0.2">
      <c r="A15" t="s">
        <v>279</v>
      </c>
      <c r="B15" t="s">
        <v>280</v>
      </c>
      <c r="C15" t="s">
        <v>281</v>
      </c>
      <c r="D15" t="s">
        <v>274</v>
      </c>
      <c r="E15" s="1">
        <v>46290</v>
      </c>
      <c r="F15" t="s">
        <v>282</v>
      </c>
    </row>
    <row r="16" spans="1:6" x14ac:dyDescent="0.2">
      <c r="A16" t="s">
        <v>283</v>
      </c>
      <c r="B16" t="s">
        <v>284</v>
      </c>
      <c r="C16" t="s">
        <v>196</v>
      </c>
      <c r="D16" t="s">
        <v>39</v>
      </c>
      <c r="E16" s="1">
        <v>46290</v>
      </c>
      <c r="F16" t="s">
        <v>285</v>
      </c>
    </row>
    <row r="17" spans="1:6" x14ac:dyDescent="0.2">
      <c r="A17" t="s">
        <v>286</v>
      </c>
      <c r="B17" t="s">
        <v>287</v>
      </c>
      <c r="C17" t="s">
        <v>208</v>
      </c>
      <c r="D17" t="s">
        <v>39</v>
      </c>
      <c r="E17" s="1">
        <v>46290</v>
      </c>
      <c r="F17" t="s">
        <v>288</v>
      </c>
    </row>
    <row r="18" spans="1:6" x14ac:dyDescent="0.2">
      <c r="A18" t="s">
        <v>289</v>
      </c>
      <c r="B18" t="s">
        <v>290</v>
      </c>
      <c r="C18" t="s">
        <v>291</v>
      </c>
      <c r="D18" t="s">
        <v>39</v>
      </c>
      <c r="E18" s="1">
        <v>46290</v>
      </c>
      <c r="F18" t="s">
        <v>292</v>
      </c>
    </row>
    <row r="19" spans="1:6" x14ac:dyDescent="0.2">
      <c r="A19" t="s">
        <v>293</v>
      </c>
      <c r="B19" t="s">
        <v>294</v>
      </c>
      <c r="C19" t="s">
        <v>189</v>
      </c>
      <c r="D19" t="s">
        <v>39</v>
      </c>
      <c r="E19" s="1">
        <v>46290</v>
      </c>
      <c r="F19" t="s">
        <v>295</v>
      </c>
    </row>
    <row r="20" spans="1:6" x14ac:dyDescent="0.2">
      <c r="A20" t="s">
        <v>614</v>
      </c>
      <c r="B20" t="s">
        <v>615</v>
      </c>
      <c r="C20" t="s">
        <v>528</v>
      </c>
      <c r="D20" t="s">
        <v>39</v>
      </c>
      <c r="E20" s="1">
        <v>46291</v>
      </c>
      <c r="F20" t="s">
        <v>616</v>
      </c>
    </row>
    <row r="21" spans="1:6" x14ac:dyDescent="0.2">
      <c r="A21" t="s">
        <v>724</v>
      </c>
      <c r="B21" t="s">
        <v>725</v>
      </c>
      <c r="C21" t="s">
        <v>726</v>
      </c>
      <c r="D21" t="s">
        <v>39</v>
      </c>
      <c r="E21" s="1">
        <v>46292</v>
      </c>
      <c r="F21" t="s">
        <v>727</v>
      </c>
    </row>
    <row r="22" spans="1:6" x14ac:dyDescent="0.2">
      <c r="A22" t="s">
        <v>728</v>
      </c>
      <c r="B22" t="s">
        <v>729</v>
      </c>
      <c r="C22" t="s">
        <v>730</v>
      </c>
      <c r="D22" t="s">
        <v>39</v>
      </c>
      <c r="E22" s="1">
        <v>46292</v>
      </c>
      <c r="F22" t="s">
        <v>731</v>
      </c>
    </row>
    <row r="23" spans="1:6" x14ac:dyDescent="0.2">
      <c r="A23" t="s">
        <v>732</v>
      </c>
      <c r="B23" t="s">
        <v>733</v>
      </c>
      <c r="C23" t="s">
        <v>734</v>
      </c>
      <c r="D23" t="s">
        <v>39</v>
      </c>
      <c r="E23" s="1">
        <v>46292</v>
      </c>
      <c r="F23" t="s">
        <v>735</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1BBE5-2A1A-1A4B-BDBA-8116C77369EC}">
  <dimension ref="A1:O64"/>
  <sheetViews>
    <sheetView topLeftCell="A7" zoomScale="88" workbookViewId="0">
      <selection activeCell="C52" sqref="C52"/>
    </sheetView>
  </sheetViews>
  <sheetFormatPr baseColWidth="10" defaultRowHeight="16" x14ac:dyDescent="0.2"/>
  <cols>
    <col min="2" max="2" width="50.1640625" customWidth="1"/>
    <col min="3" max="3" width="39.6640625" customWidth="1"/>
    <col min="5" max="5" width="20.33203125" customWidth="1"/>
    <col min="6" max="6" width="13" customWidth="1"/>
    <col min="9" max="9" width="41" customWidth="1"/>
    <col min="11" max="11" width="12.1640625" customWidth="1"/>
    <col min="12" max="12" width="6.1640625" customWidth="1"/>
    <col min="13" max="13" width="11.6640625" bestFit="1" customWidth="1"/>
    <col min="15" max="15" width="13.83203125" bestFit="1" customWidth="1"/>
  </cols>
  <sheetData>
    <row r="1" spans="1:15" x14ac:dyDescent="0.2">
      <c r="A1" t="s">
        <v>0</v>
      </c>
      <c r="B1" t="s">
        <v>5</v>
      </c>
      <c r="C1" t="s">
        <v>6</v>
      </c>
      <c r="D1" t="s">
        <v>7</v>
      </c>
      <c r="E1" t="s">
        <v>8</v>
      </c>
      <c r="F1" t="s">
        <v>9</v>
      </c>
      <c r="G1" t="s">
        <v>10</v>
      </c>
      <c r="H1" t="s">
        <v>2</v>
      </c>
      <c r="I1" t="s">
        <v>11</v>
      </c>
      <c r="J1" t="s">
        <v>12</v>
      </c>
      <c r="K1" t="s">
        <v>13</v>
      </c>
      <c r="L1" t="s">
        <v>14</v>
      </c>
      <c r="M1" t="s">
        <v>3</v>
      </c>
      <c r="N1" t="s">
        <v>15</v>
      </c>
      <c r="O1" t="s">
        <v>16</v>
      </c>
    </row>
    <row r="2" spans="1:15" x14ac:dyDescent="0.2">
      <c r="A2" t="s">
        <v>31</v>
      </c>
      <c r="B2" t="s">
        <v>54</v>
      </c>
      <c r="C2" t="s">
        <v>55</v>
      </c>
      <c r="D2" t="s">
        <v>56</v>
      </c>
      <c r="E2" t="s">
        <v>57</v>
      </c>
      <c r="G2" t="s">
        <v>41</v>
      </c>
      <c r="H2" t="s">
        <v>42</v>
      </c>
      <c r="I2" t="s">
        <v>58</v>
      </c>
      <c r="J2">
        <v>2025</v>
      </c>
      <c r="K2" t="s">
        <v>59</v>
      </c>
      <c r="L2" t="s">
        <v>60</v>
      </c>
      <c r="M2" s="1">
        <v>46290</v>
      </c>
    </row>
    <row r="3" spans="1:15" x14ac:dyDescent="0.2">
      <c r="A3" t="s">
        <v>32</v>
      </c>
      <c r="B3" t="s">
        <v>74</v>
      </c>
      <c r="C3" t="s">
        <v>61</v>
      </c>
      <c r="D3" t="s">
        <v>56</v>
      </c>
      <c r="E3" t="s">
        <v>57</v>
      </c>
      <c r="G3" t="s">
        <v>41</v>
      </c>
      <c r="H3" t="s">
        <v>42</v>
      </c>
      <c r="I3" t="s">
        <v>62</v>
      </c>
      <c r="J3">
        <v>2025</v>
      </c>
      <c r="K3" t="s">
        <v>59</v>
      </c>
      <c r="L3" t="s">
        <v>60</v>
      </c>
      <c r="M3" s="1">
        <v>46290</v>
      </c>
    </row>
    <row r="4" spans="1:15" x14ac:dyDescent="0.2">
      <c r="A4" t="s">
        <v>33</v>
      </c>
      <c r="B4" t="s">
        <v>63</v>
      </c>
      <c r="C4" t="s">
        <v>64</v>
      </c>
      <c r="D4" t="s">
        <v>56</v>
      </c>
      <c r="E4" t="s">
        <v>57</v>
      </c>
      <c r="G4" t="s">
        <v>41</v>
      </c>
      <c r="H4" t="s">
        <v>42</v>
      </c>
      <c r="I4" t="s">
        <v>65</v>
      </c>
      <c r="J4">
        <v>2025</v>
      </c>
      <c r="K4" t="s">
        <v>59</v>
      </c>
      <c r="L4" t="s">
        <v>60</v>
      </c>
      <c r="M4" s="1">
        <v>46290</v>
      </c>
    </row>
    <row r="5" spans="1:15" x14ac:dyDescent="0.2">
      <c r="A5" t="s">
        <v>66</v>
      </c>
      <c r="B5" t="s">
        <v>68</v>
      </c>
      <c r="C5" t="s">
        <v>69</v>
      </c>
      <c r="D5" t="s">
        <v>56</v>
      </c>
      <c r="E5" t="s">
        <v>57</v>
      </c>
      <c r="G5" t="s">
        <v>41</v>
      </c>
      <c r="H5" t="s">
        <v>42</v>
      </c>
      <c r="I5" t="s">
        <v>70</v>
      </c>
      <c r="J5">
        <v>2025</v>
      </c>
      <c r="K5" t="s">
        <v>59</v>
      </c>
      <c r="L5" t="s">
        <v>60</v>
      </c>
      <c r="M5" s="1">
        <v>46290</v>
      </c>
    </row>
    <row r="6" spans="1:15" x14ac:dyDescent="0.2">
      <c r="A6" t="s">
        <v>67</v>
      </c>
      <c r="B6" t="s">
        <v>71</v>
      </c>
      <c r="C6" t="s">
        <v>72</v>
      </c>
      <c r="D6" t="s">
        <v>56</v>
      </c>
      <c r="E6" t="s">
        <v>57</v>
      </c>
      <c r="G6" t="s">
        <v>41</v>
      </c>
      <c r="H6" t="s">
        <v>42</v>
      </c>
      <c r="I6" t="s">
        <v>73</v>
      </c>
      <c r="J6">
        <v>2025</v>
      </c>
      <c r="K6" t="s">
        <v>59</v>
      </c>
      <c r="L6" t="s">
        <v>60</v>
      </c>
      <c r="M6" s="1">
        <v>46290</v>
      </c>
    </row>
    <row r="7" spans="1:15" x14ac:dyDescent="0.2">
      <c r="A7" t="s">
        <v>75</v>
      </c>
      <c r="B7" t="s">
        <v>76</v>
      </c>
      <c r="C7" t="s">
        <v>77</v>
      </c>
      <c r="D7" t="s">
        <v>56</v>
      </c>
      <c r="E7" t="s">
        <v>57</v>
      </c>
      <c r="G7" t="s">
        <v>78</v>
      </c>
      <c r="H7" t="s">
        <v>79</v>
      </c>
      <c r="I7" t="s">
        <v>80</v>
      </c>
      <c r="J7">
        <v>2026</v>
      </c>
      <c r="K7" t="s">
        <v>81</v>
      </c>
      <c r="L7" t="s">
        <v>60</v>
      </c>
      <c r="M7" s="1">
        <v>46290</v>
      </c>
      <c r="O7" t="s">
        <v>82</v>
      </c>
    </row>
    <row r="8" spans="1:15" x14ac:dyDescent="0.2">
      <c r="A8" t="s">
        <v>83</v>
      </c>
      <c r="B8" t="s">
        <v>84</v>
      </c>
      <c r="C8" t="s">
        <v>85</v>
      </c>
      <c r="D8" t="s">
        <v>56</v>
      </c>
      <c r="E8" t="s">
        <v>57</v>
      </c>
      <c r="G8" t="s">
        <v>86</v>
      </c>
      <c r="H8" t="s">
        <v>87</v>
      </c>
      <c r="I8" t="s">
        <v>88</v>
      </c>
      <c r="J8">
        <v>2025</v>
      </c>
      <c r="K8" t="s">
        <v>81</v>
      </c>
      <c r="L8" t="s">
        <v>60</v>
      </c>
      <c r="M8" s="1">
        <v>46290</v>
      </c>
    </row>
    <row r="9" spans="1:15" x14ac:dyDescent="0.2">
      <c r="A9" t="s">
        <v>89</v>
      </c>
      <c r="B9" t="s">
        <v>90</v>
      </c>
      <c r="C9" t="s">
        <v>91</v>
      </c>
      <c r="D9" t="s">
        <v>56</v>
      </c>
      <c r="E9" t="s">
        <v>57</v>
      </c>
      <c r="G9" t="s">
        <v>86</v>
      </c>
      <c r="H9" t="s">
        <v>87</v>
      </c>
      <c r="I9" t="s">
        <v>92</v>
      </c>
      <c r="J9">
        <v>2025</v>
      </c>
      <c r="K9" t="s">
        <v>81</v>
      </c>
      <c r="L9" t="s">
        <v>60</v>
      </c>
      <c r="M9" s="1">
        <v>46290</v>
      </c>
      <c r="O9" t="s">
        <v>93</v>
      </c>
    </row>
    <row r="10" spans="1:15" x14ac:dyDescent="0.2">
      <c r="A10" t="s">
        <v>94</v>
      </c>
      <c r="B10" t="s">
        <v>95</v>
      </c>
      <c r="C10" t="s">
        <v>96</v>
      </c>
      <c r="D10" t="s">
        <v>56</v>
      </c>
      <c r="E10" t="s">
        <v>97</v>
      </c>
      <c r="G10" t="s">
        <v>86</v>
      </c>
      <c r="H10" t="s">
        <v>87</v>
      </c>
      <c r="I10" t="s">
        <v>98</v>
      </c>
      <c r="J10">
        <v>2025</v>
      </c>
      <c r="K10" t="s">
        <v>99</v>
      </c>
      <c r="L10" t="s">
        <v>60</v>
      </c>
      <c r="M10" s="1">
        <v>46290</v>
      </c>
      <c r="O10" t="s">
        <v>100</v>
      </c>
    </row>
    <row r="11" spans="1:15" x14ac:dyDescent="0.2">
      <c r="A11" t="s">
        <v>101</v>
      </c>
      <c r="B11" t="s">
        <v>102</v>
      </c>
      <c r="C11" t="s">
        <v>103</v>
      </c>
      <c r="D11" t="s">
        <v>56</v>
      </c>
      <c r="E11" t="s">
        <v>97</v>
      </c>
      <c r="G11" t="s">
        <v>104</v>
      </c>
      <c r="H11" t="s">
        <v>87</v>
      </c>
      <c r="I11" t="s">
        <v>105</v>
      </c>
      <c r="J11">
        <v>2025</v>
      </c>
      <c r="K11" t="s">
        <v>106</v>
      </c>
      <c r="L11" t="s">
        <v>60</v>
      </c>
      <c r="M11" s="1">
        <v>46290</v>
      </c>
      <c r="O11" t="s">
        <v>107</v>
      </c>
    </row>
    <row r="12" spans="1:15" x14ac:dyDescent="0.2">
      <c r="A12" t="s">
        <v>108</v>
      </c>
      <c r="B12" t="s">
        <v>109</v>
      </c>
      <c r="C12" t="s">
        <v>110</v>
      </c>
      <c r="D12" t="s">
        <v>56</v>
      </c>
      <c r="E12" t="s">
        <v>111</v>
      </c>
      <c r="G12" t="s">
        <v>112</v>
      </c>
      <c r="H12" t="s">
        <v>87</v>
      </c>
      <c r="I12" t="s">
        <v>113</v>
      </c>
      <c r="J12">
        <v>2025</v>
      </c>
      <c r="K12" t="s">
        <v>99</v>
      </c>
      <c r="L12" t="s">
        <v>60</v>
      </c>
      <c r="M12" s="1">
        <v>46290</v>
      </c>
      <c r="O12" t="s">
        <v>703</v>
      </c>
    </row>
    <row r="13" spans="1:15" x14ac:dyDescent="0.2">
      <c r="A13" t="s">
        <v>114</v>
      </c>
      <c r="B13" t="s">
        <v>115</v>
      </c>
      <c r="C13" t="s">
        <v>116</v>
      </c>
      <c r="D13" t="s">
        <v>56</v>
      </c>
      <c r="E13" t="s">
        <v>117</v>
      </c>
      <c r="G13" t="s">
        <v>112</v>
      </c>
      <c r="H13" t="s">
        <v>87</v>
      </c>
      <c r="I13" t="s">
        <v>118</v>
      </c>
      <c r="J13">
        <v>2025</v>
      </c>
      <c r="K13" t="s">
        <v>99</v>
      </c>
      <c r="L13" t="s">
        <v>60</v>
      </c>
      <c r="M13" s="1">
        <v>46290</v>
      </c>
      <c r="O13" t="s">
        <v>119</v>
      </c>
    </row>
    <row r="14" spans="1:15" x14ac:dyDescent="0.2">
      <c r="A14" t="s">
        <v>120</v>
      </c>
      <c r="B14" t="s">
        <v>121</v>
      </c>
      <c r="C14" t="s">
        <v>122</v>
      </c>
      <c r="D14" t="s">
        <v>56</v>
      </c>
      <c r="E14" t="s">
        <v>111</v>
      </c>
      <c r="G14" t="s">
        <v>112</v>
      </c>
      <c r="H14" t="s">
        <v>87</v>
      </c>
      <c r="I14" t="s">
        <v>123</v>
      </c>
      <c r="J14">
        <v>2025</v>
      </c>
      <c r="K14" t="s">
        <v>99</v>
      </c>
      <c r="L14" t="s">
        <v>60</v>
      </c>
      <c r="M14" s="1">
        <v>46290</v>
      </c>
      <c r="O14" t="s">
        <v>124</v>
      </c>
    </row>
    <row r="15" spans="1:15" x14ac:dyDescent="0.2">
      <c r="A15" t="s">
        <v>125</v>
      </c>
      <c r="B15" t="s">
        <v>126</v>
      </c>
      <c r="C15" t="s">
        <v>127</v>
      </c>
      <c r="D15" t="s">
        <v>56</v>
      </c>
      <c r="E15" t="s">
        <v>128</v>
      </c>
      <c r="G15" t="s">
        <v>129</v>
      </c>
      <c r="H15" t="s">
        <v>87</v>
      </c>
      <c r="I15" t="s">
        <v>130</v>
      </c>
      <c r="J15">
        <v>2025</v>
      </c>
      <c r="K15" t="s">
        <v>99</v>
      </c>
      <c r="L15" t="s">
        <v>60</v>
      </c>
      <c r="M15" s="1">
        <v>46290</v>
      </c>
      <c r="O15" t="s">
        <v>131</v>
      </c>
    </row>
    <row r="16" spans="1:15" x14ac:dyDescent="0.2">
      <c r="A16" t="s">
        <v>132</v>
      </c>
      <c r="B16" t="s">
        <v>133</v>
      </c>
      <c r="C16" t="s">
        <v>617</v>
      </c>
      <c r="D16">
        <f>(188994+34824)/0.0249</f>
        <v>8988674.6987951808</v>
      </c>
      <c r="E16" t="s">
        <v>134</v>
      </c>
      <c r="F16" t="s">
        <v>135</v>
      </c>
      <c r="G16" t="s">
        <v>136</v>
      </c>
      <c r="H16" t="s">
        <v>137</v>
      </c>
      <c r="I16" t="s">
        <v>137</v>
      </c>
      <c r="J16">
        <v>2025</v>
      </c>
      <c r="K16" t="s">
        <v>99</v>
      </c>
      <c r="L16" t="s">
        <v>138</v>
      </c>
      <c r="M16" s="1">
        <v>46290</v>
      </c>
      <c r="N16" t="s">
        <v>515</v>
      </c>
      <c r="O16" t="s">
        <v>516</v>
      </c>
    </row>
    <row r="17" spans="1:15" x14ac:dyDescent="0.2">
      <c r="A17" t="s">
        <v>139</v>
      </c>
      <c r="B17" t="s">
        <v>140</v>
      </c>
      <c r="C17" t="s">
        <v>141</v>
      </c>
      <c r="D17" t="s">
        <v>56</v>
      </c>
      <c r="E17" t="s">
        <v>57</v>
      </c>
      <c r="G17" t="s">
        <v>142</v>
      </c>
      <c r="H17" t="s">
        <v>87</v>
      </c>
      <c r="I17" t="s">
        <v>296</v>
      </c>
      <c r="J17">
        <v>2025</v>
      </c>
      <c r="K17" t="s">
        <v>81</v>
      </c>
      <c r="L17" t="s">
        <v>60</v>
      </c>
      <c r="M17" s="1">
        <v>46290</v>
      </c>
    </row>
    <row r="18" spans="1:15" x14ac:dyDescent="0.2">
      <c r="A18" t="s">
        <v>143</v>
      </c>
      <c r="B18" t="s">
        <v>144</v>
      </c>
      <c r="C18" t="s">
        <v>145</v>
      </c>
      <c r="D18" t="s">
        <v>56</v>
      </c>
      <c r="E18" t="s">
        <v>57</v>
      </c>
      <c r="G18" t="s">
        <v>104</v>
      </c>
      <c r="H18" t="s">
        <v>87</v>
      </c>
      <c r="I18" t="s">
        <v>146</v>
      </c>
      <c r="J18">
        <v>2025</v>
      </c>
      <c r="K18" t="s">
        <v>99</v>
      </c>
      <c r="L18" t="s">
        <v>60</v>
      </c>
      <c r="M18" s="1">
        <v>46290</v>
      </c>
      <c r="O18" t="s">
        <v>147</v>
      </c>
    </row>
    <row r="19" spans="1:15" x14ac:dyDescent="0.2">
      <c r="A19" t="s">
        <v>148</v>
      </c>
      <c r="B19" t="s">
        <v>149</v>
      </c>
      <c r="C19" t="s">
        <v>150</v>
      </c>
      <c r="D19" t="s">
        <v>56</v>
      </c>
      <c r="E19" t="s">
        <v>151</v>
      </c>
      <c r="G19" t="s">
        <v>152</v>
      </c>
      <c r="H19" t="s">
        <v>153</v>
      </c>
      <c r="I19" t="s">
        <v>154</v>
      </c>
      <c r="J19">
        <v>2025</v>
      </c>
      <c r="K19" t="s">
        <v>59</v>
      </c>
      <c r="L19" t="s">
        <v>155</v>
      </c>
      <c r="M19" s="1">
        <v>46290</v>
      </c>
      <c r="O19" t="s">
        <v>297</v>
      </c>
    </row>
    <row r="20" spans="1:15" x14ac:dyDescent="0.2">
      <c r="A20" t="s">
        <v>156</v>
      </c>
      <c r="B20" t="s">
        <v>157</v>
      </c>
      <c r="C20" t="s">
        <v>158</v>
      </c>
      <c r="D20" t="s">
        <v>56</v>
      </c>
      <c r="E20" t="s">
        <v>151</v>
      </c>
      <c r="G20" t="s">
        <v>152</v>
      </c>
      <c r="H20" t="s">
        <v>153</v>
      </c>
      <c r="I20" t="s">
        <v>159</v>
      </c>
      <c r="J20">
        <v>2024</v>
      </c>
      <c r="K20" t="s">
        <v>59</v>
      </c>
      <c r="L20" t="s">
        <v>155</v>
      </c>
      <c r="M20" s="1">
        <v>46290</v>
      </c>
      <c r="O20" t="s">
        <v>160</v>
      </c>
    </row>
    <row r="21" spans="1:15" x14ac:dyDescent="0.2">
      <c r="A21" t="s">
        <v>161</v>
      </c>
      <c r="B21" t="s">
        <v>162</v>
      </c>
      <c r="C21" t="s">
        <v>163</v>
      </c>
      <c r="D21" t="s">
        <v>56</v>
      </c>
      <c r="E21" t="s">
        <v>151</v>
      </c>
      <c r="G21" t="s">
        <v>152</v>
      </c>
      <c r="H21" t="s">
        <v>153</v>
      </c>
      <c r="I21" t="s">
        <v>164</v>
      </c>
      <c r="J21">
        <v>2025</v>
      </c>
      <c r="K21" t="s">
        <v>59</v>
      </c>
      <c r="L21" t="s">
        <v>155</v>
      </c>
      <c r="M21" s="1">
        <v>46290</v>
      </c>
      <c r="O21" t="s">
        <v>165</v>
      </c>
    </row>
    <row r="22" spans="1:15" x14ac:dyDescent="0.2">
      <c r="A22" t="s">
        <v>166</v>
      </c>
      <c r="B22" t="s">
        <v>167</v>
      </c>
      <c r="C22" t="s">
        <v>168</v>
      </c>
      <c r="D22">
        <v>3.875E-2</v>
      </c>
      <c r="E22" t="s">
        <v>169</v>
      </c>
      <c r="F22" t="s">
        <v>618</v>
      </c>
      <c r="G22" t="s">
        <v>170</v>
      </c>
      <c r="H22" t="s">
        <v>171</v>
      </c>
      <c r="I22" t="s">
        <v>172</v>
      </c>
      <c r="J22">
        <v>2025</v>
      </c>
      <c r="K22" t="s">
        <v>59</v>
      </c>
      <c r="L22" t="s">
        <v>155</v>
      </c>
      <c r="M22" s="1">
        <v>46290</v>
      </c>
      <c r="N22" t="s">
        <v>619</v>
      </c>
      <c r="O22" t="s">
        <v>517</v>
      </c>
    </row>
    <row r="23" spans="1:15" x14ac:dyDescent="0.2">
      <c r="A23" t="s">
        <v>173</v>
      </c>
      <c r="B23" t="s">
        <v>174</v>
      </c>
      <c r="C23" t="s">
        <v>175</v>
      </c>
      <c r="D23">
        <v>3.8949999999999999E-2</v>
      </c>
      <c r="E23" t="s">
        <v>169</v>
      </c>
      <c r="F23" t="s">
        <v>618</v>
      </c>
      <c r="G23" t="s">
        <v>170</v>
      </c>
      <c r="H23" t="s">
        <v>171</v>
      </c>
      <c r="I23" t="s">
        <v>176</v>
      </c>
      <c r="J23">
        <v>2024</v>
      </c>
      <c r="K23" t="s">
        <v>59</v>
      </c>
      <c r="L23" t="s">
        <v>155</v>
      </c>
      <c r="M23" s="1">
        <v>46290</v>
      </c>
      <c r="N23" t="s">
        <v>625</v>
      </c>
      <c r="O23" t="s">
        <v>380</v>
      </c>
    </row>
    <row r="24" spans="1:15" x14ac:dyDescent="0.2">
      <c r="A24" t="s">
        <v>177</v>
      </c>
      <c r="B24" t="s">
        <v>178</v>
      </c>
      <c r="C24">
        <v>65</v>
      </c>
      <c r="D24" t="s">
        <v>56</v>
      </c>
      <c r="E24" t="s">
        <v>179</v>
      </c>
      <c r="G24" t="s">
        <v>180</v>
      </c>
      <c r="H24" t="s">
        <v>181</v>
      </c>
      <c r="I24" t="s">
        <v>182</v>
      </c>
      <c r="J24">
        <v>2024</v>
      </c>
      <c r="K24" t="s">
        <v>59</v>
      </c>
      <c r="L24" t="s">
        <v>155</v>
      </c>
      <c r="M24" s="1">
        <v>46290</v>
      </c>
      <c r="N24" t="s">
        <v>626</v>
      </c>
      <c r="O24" t="s">
        <v>183</v>
      </c>
    </row>
    <row r="25" spans="1:15" x14ac:dyDescent="0.2">
      <c r="A25" t="s">
        <v>184</v>
      </c>
      <c r="B25" t="s">
        <v>185</v>
      </c>
      <c r="C25" t="s">
        <v>186</v>
      </c>
      <c r="D25">
        <v>74</v>
      </c>
      <c r="E25" t="s">
        <v>179</v>
      </c>
      <c r="F25" t="s">
        <v>187</v>
      </c>
      <c r="G25" t="s">
        <v>188</v>
      </c>
      <c r="H25" t="s">
        <v>189</v>
      </c>
      <c r="I25" t="s">
        <v>190</v>
      </c>
      <c r="J25">
        <v>2025</v>
      </c>
      <c r="K25" t="s">
        <v>59</v>
      </c>
      <c r="L25" t="s">
        <v>60</v>
      </c>
      <c r="M25" s="1">
        <v>46290</v>
      </c>
      <c r="N25" t="s">
        <v>537</v>
      </c>
      <c r="O25" t="s">
        <v>191</v>
      </c>
    </row>
    <row r="26" spans="1:15" x14ac:dyDescent="0.2">
      <c r="A26" t="s">
        <v>192</v>
      </c>
      <c r="B26" t="s">
        <v>193</v>
      </c>
      <c r="C26">
        <v>89</v>
      </c>
      <c r="D26" t="s">
        <v>56</v>
      </c>
      <c r="E26" t="s">
        <v>194</v>
      </c>
      <c r="G26" t="s">
        <v>195</v>
      </c>
      <c r="H26" t="s">
        <v>196</v>
      </c>
      <c r="I26" t="s">
        <v>197</v>
      </c>
      <c r="J26">
        <v>2023</v>
      </c>
      <c r="K26" t="s">
        <v>81</v>
      </c>
      <c r="L26" t="s">
        <v>155</v>
      </c>
      <c r="M26" s="1">
        <v>46290</v>
      </c>
      <c r="O26" t="s">
        <v>198</v>
      </c>
    </row>
    <row r="27" spans="1:15" x14ac:dyDescent="0.2">
      <c r="A27" t="s">
        <v>199</v>
      </c>
      <c r="B27" t="s">
        <v>200</v>
      </c>
      <c r="C27">
        <v>85</v>
      </c>
      <c r="D27">
        <v>85</v>
      </c>
      <c r="E27" t="s">
        <v>117</v>
      </c>
      <c r="G27" t="s">
        <v>201</v>
      </c>
      <c r="H27" t="s">
        <v>196</v>
      </c>
      <c r="I27" t="s">
        <v>202</v>
      </c>
      <c r="J27">
        <v>2023</v>
      </c>
      <c r="K27" t="s">
        <v>81</v>
      </c>
      <c r="L27" t="s">
        <v>155</v>
      </c>
      <c r="M27" s="1">
        <v>46290</v>
      </c>
      <c r="N27" t="s">
        <v>704</v>
      </c>
      <c r="O27" t="s">
        <v>203</v>
      </c>
    </row>
    <row r="28" spans="1:15" x14ac:dyDescent="0.2">
      <c r="A28" t="s">
        <v>204</v>
      </c>
      <c r="B28" t="s">
        <v>205</v>
      </c>
      <c r="C28" t="s">
        <v>206</v>
      </c>
      <c r="D28" t="s">
        <v>56</v>
      </c>
      <c r="E28" t="s">
        <v>57</v>
      </c>
      <c r="G28" t="s">
        <v>207</v>
      </c>
      <c r="H28" t="s">
        <v>208</v>
      </c>
      <c r="I28" t="s">
        <v>209</v>
      </c>
      <c r="J28">
        <v>2014</v>
      </c>
      <c r="K28" t="s">
        <v>81</v>
      </c>
      <c r="L28" t="s">
        <v>155</v>
      </c>
      <c r="M28" s="1">
        <v>46290</v>
      </c>
      <c r="O28" t="s">
        <v>210</v>
      </c>
    </row>
    <row r="29" spans="1:15" x14ac:dyDescent="0.2">
      <c r="A29" t="s">
        <v>211</v>
      </c>
      <c r="B29" t="s">
        <v>212</v>
      </c>
      <c r="C29" t="s">
        <v>298</v>
      </c>
      <c r="D29" t="s">
        <v>56</v>
      </c>
      <c r="E29" t="s">
        <v>213</v>
      </c>
      <c r="G29" t="s">
        <v>214</v>
      </c>
      <c r="H29" t="s">
        <v>215</v>
      </c>
      <c r="I29" t="s">
        <v>216</v>
      </c>
      <c r="J29">
        <v>2026</v>
      </c>
      <c r="K29" t="s">
        <v>81</v>
      </c>
      <c r="L29" t="s">
        <v>60</v>
      </c>
      <c r="M29" s="1">
        <v>46290</v>
      </c>
      <c r="O29" t="s">
        <v>217</v>
      </c>
    </row>
    <row r="30" spans="1:15" x14ac:dyDescent="0.2">
      <c r="A30" t="s">
        <v>218</v>
      </c>
      <c r="B30" t="s">
        <v>219</v>
      </c>
      <c r="C30" t="s">
        <v>299</v>
      </c>
      <c r="D30">
        <v>8600</v>
      </c>
      <c r="E30" t="s">
        <v>213</v>
      </c>
      <c r="F30" t="s">
        <v>518</v>
      </c>
      <c r="G30" t="s">
        <v>220</v>
      </c>
      <c r="H30" t="s">
        <v>215</v>
      </c>
      <c r="I30" t="s">
        <v>221</v>
      </c>
      <c r="J30">
        <v>2026</v>
      </c>
      <c r="K30" t="s">
        <v>81</v>
      </c>
      <c r="L30" t="s">
        <v>60</v>
      </c>
      <c r="M30" s="1">
        <v>46290</v>
      </c>
      <c r="N30" t="s">
        <v>705</v>
      </c>
      <c r="O30" t="s">
        <v>222</v>
      </c>
    </row>
    <row r="31" spans="1:15" x14ac:dyDescent="0.2">
      <c r="A31" t="s">
        <v>223</v>
      </c>
      <c r="B31" t="s">
        <v>224</v>
      </c>
      <c r="C31" t="s">
        <v>300</v>
      </c>
      <c r="D31" t="s">
        <v>56</v>
      </c>
      <c r="E31" t="s">
        <v>213</v>
      </c>
      <c r="G31" t="s">
        <v>220</v>
      </c>
      <c r="H31" t="s">
        <v>215</v>
      </c>
      <c r="I31" t="s">
        <v>225</v>
      </c>
      <c r="J31">
        <v>2025</v>
      </c>
      <c r="K31" t="s">
        <v>81</v>
      </c>
      <c r="L31" t="s">
        <v>60</v>
      </c>
      <c r="M31" s="1">
        <v>46290</v>
      </c>
      <c r="O31" t="s">
        <v>226</v>
      </c>
    </row>
    <row r="32" spans="1:15" x14ac:dyDescent="0.2">
      <c r="A32" t="s">
        <v>227</v>
      </c>
      <c r="B32" t="s">
        <v>228</v>
      </c>
      <c r="C32" t="s">
        <v>301</v>
      </c>
      <c r="D32" t="s">
        <v>56</v>
      </c>
      <c r="E32" t="s">
        <v>213</v>
      </c>
      <c r="G32" t="s">
        <v>229</v>
      </c>
      <c r="H32" t="s">
        <v>215</v>
      </c>
      <c r="I32" t="s">
        <v>230</v>
      </c>
      <c r="J32">
        <v>2026</v>
      </c>
      <c r="K32" t="s">
        <v>81</v>
      </c>
      <c r="L32" t="s">
        <v>60</v>
      </c>
      <c r="M32" s="1">
        <v>46290</v>
      </c>
      <c r="O32" t="s">
        <v>231</v>
      </c>
    </row>
    <row r="33" spans="1:15" x14ac:dyDescent="0.2">
      <c r="A33" t="s">
        <v>232</v>
      </c>
      <c r="B33" t="s">
        <v>233</v>
      </c>
      <c r="C33" t="s">
        <v>234</v>
      </c>
      <c r="D33" t="s">
        <v>56</v>
      </c>
      <c r="E33" t="s">
        <v>57</v>
      </c>
      <c r="G33" t="s">
        <v>235</v>
      </c>
      <c r="H33" t="s">
        <v>236</v>
      </c>
      <c r="I33" t="s">
        <v>237</v>
      </c>
      <c r="J33">
        <v>2025</v>
      </c>
      <c r="K33" t="s">
        <v>81</v>
      </c>
      <c r="L33" t="s">
        <v>60</v>
      </c>
      <c r="M33" s="1">
        <v>46290</v>
      </c>
      <c r="O33" t="s">
        <v>238</v>
      </c>
    </row>
    <row r="34" spans="1:15" x14ac:dyDescent="0.2">
      <c r="A34" t="s">
        <v>239</v>
      </c>
      <c r="B34" t="s">
        <v>240</v>
      </c>
      <c r="C34">
        <v>211.078</v>
      </c>
      <c r="D34">
        <v>211078</v>
      </c>
      <c r="E34" t="s">
        <v>241</v>
      </c>
      <c r="G34" t="s">
        <v>235</v>
      </c>
      <c r="H34" t="s">
        <v>236</v>
      </c>
      <c r="I34" t="s">
        <v>242</v>
      </c>
      <c r="J34">
        <v>2025</v>
      </c>
      <c r="K34" t="s">
        <v>81</v>
      </c>
      <c r="L34" t="s">
        <v>60</v>
      </c>
      <c r="M34" s="1">
        <v>46290</v>
      </c>
      <c r="N34" t="s">
        <v>706</v>
      </c>
      <c r="O34" t="s">
        <v>302</v>
      </c>
    </row>
    <row r="35" spans="1:15" x14ac:dyDescent="0.2">
      <c r="A35" t="s">
        <v>243</v>
      </c>
      <c r="B35" t="s">
        <v>244</v>
      </c>
      <c r="C35">
        <v>229.042</v>
      </c>
      <c r="D35">
        <v>229042</v>
      </c>
      <c r="E35" t="s">
        <v>241</v>
      </c>
      <c r="G35" t="s">
        <v>235</v>
      </c>
      <c r="H35" t="s">
        <v>236</v>
      </c>
      <c r="I35" t="s">
        <v>245</v>
      </c>
      <c r="J35">
        <v>2024</v>
      </c>
      <c r="K35" t="s">
        <v>81</v>
      </c>
      <c r="L35" t="s">
        <v>60</v>
      </c>
      <c r="M35" s="1">
        <v>46290</v>
      </c>
      <c r="O35" t="s">
        <v>303</v>
      </c>
    </row>
    <row r="36" spans="1:15" x14ac:dyDescent="0.2">
      <c r="A36" t="s">
        <v>246</v>
      </c>
      <c r="B36" t="s">
        <v>247</v>
      </c>
      <c r="C36">
        <v>61.633000000000003</v>
      </c>
      <c r="D36">
        <v>61633</v>
      </c>
      <c r="E36" t="s">
        <v>248</v>
      </c>
      <c r="G36" t="s">
        <v>235</v>
      </c>
      <c r="H36" t="s">
        <v>236</v>
      </c>
      <c r="I36" t="s">
        <v>249</v>
      </c>
      <c r="J36">
        <v>2025</v>
      </c>
      <c r="K36" t="s">
        <v>81</v>
      </c>
      <c r="L36" t="s">
        <v>60</v>
      </c>
      <c r="M36" s="1">
        <v>46290</v>
      </c>
      <c r="N36" t="s">
        <v>707</v>
      </c>
      <c r="O36" t="s">
        <v>304</v>
      </c>
    </row>
    <row r="37" spans="1:15" x14ac:dyDescent="0.2">
      <c r="A37" t="s">
        <v>250</v>
      </c>
      <c r="B37" t="s">
        <v>305</v>
      </c>
      <c r="C37" t="s">
        <v>306</v>
      </c>
      <c r="D37" t="s">
        <v>56</v>
      </c>
      <c r="E37" t="s">
        <v>111</v>
      </c>
      <c r="G37" t="s">
        <v>307</v>
      </c>
      <c r="H37" t="s">
        <v>87</v>
      </c>
      <c r="I37" t="s">
        <v>308</v>
      </c>
      <c r="J37">
        <v>2025</v>
      </c>
      <c r="K37" t="s">
        <v>99</v>
      </c>
      <c r="L37" t="s">
        <v>60</v>
      </c>
      <c r="M37" s="1">
        <v>46290</v>
      </c>
      <c r="O37" t="s">
        <v>309</v>
      </c>
    </row>
    <row r="38" spans="1:15" x14ac:dyDescent="0.2">
      <c r="A38" t="s">
        <v>375</v>
      </c>
      <c r="B38" t="s">
        <v>376</v>
      </c>
      <c r="C38" t="s">
        <v>519</v>
      </c>
      <c r="D38">
        <v>56000000</v>
      </c>
      <c r="E38" t="s">
        <v>377</v>
      </c>
      <c r="F38" t="s">
        <v>378</v>
      </c>
      <c r="G38" t="s">
        <v>379</v>
      </c>
      <c r="H38" t="s">
        <v>137</v>
      </c>
      <c r="I38" t="s">
        <v>137</v>
      </c>
      <c r="J38">
        <v>2025</v>
      </c>
      <c r="K38" t="s">
        <v>81</v>
      </c>
      <c r="L38" t="s">
        <v>138</v>
      </c>
      <c r="M38" s="1">
        <v>46291</v>
      </c>
      <c r="N38" t="s">
        <v>520</v>
      </c>
      <c r="O38" t="s">
        <v>521</v>
      </c>
    </row>
    <row r="39" spans="1:15" x14ac:dyDescent="0.2">
      <c r="A39" t="s">
        <v>522</v>
      </c>
      <c r="B39" t="s">
        <v>523</v>
      </c>
      <c r="C39" t="s">
        <v>524</v>
      </c>
      <c r="D39">
        <v>0.20100000000000001</v>
      </c>
      <c r="E39" t="s">
        <v>525</v>
      </c>
      <c r="F39" t="s">
        <v>526</v>
      </c>
      <c r="G39" t="s">
        <v>527</v>
      </c>
      <c r="H39" t="s">
        <v>528</v>
      </c>
      <c r="I39" t="s">
        <v>529</v>
      </c>
      <c r="J39">
        <v>2022</v>
      </c>
      <c r="K39" t="s">
        <v>59</v>
      </c>
      <c r="L39" t="s">
        <v>155</v>
      </c>
      <c r="M39" s="1">
        <v>46291</v>
      </c>
      <c r="N39" t="s">
        <v>530</v>
      </c>
      <c r="O39" t="s">
        <v>531</v>
      </c>
    </row>
    <row r="40" spans="1:15" x14ac:dyDescent="0.2">
      <c r="A40" t="s">
        <v>420</v>
      </c>
      <c r="B40" t="s">
        <v>532</v>
      </c>
      <c r="C40" t="s">
        <v>533</v>
      </c>
      <c r="D40">
        <v>1.1080000000000001</v>
      </c>
      <c r="E40" t="s">
        <v>534</v>
      </c>
      <c r="G40" t="s">
        <v>527</v>
      </c>
      <c r="H40" t="s">
        <v>528</v>
      </c>
      <c r="I40" t="s">
        <v>535</v>
      </c>
      <c r="J40">
        <v>2022</v>
      </c>
      <c r="K40" t="s">
        <v>59</v>
      </c>
      <c r="L40" t="s">
        <v>155</v>
      </c>
      <c r="M40" s="1">
        <v>46291</v>
      </c>
      <c r="N40" t="s">
        <v>530</v>
      </c>
      <c r="O40" t="s">
        <v>536</v>
      </c>
    </row>
    <row r="41" spans="1:15" x14ac:dyDescent="0.2">
      <c r="A41" t="s">
        <v>416</v>
      </c>
      <c r="B41" t="s">
        <v>538</v>
      </c>
      <c r="C41" t="s">
        <v>620</v>
      </c>
      <c r="D41">
        <v>1050000</v>
      </c>
      <c r="E41" t="s">
        <v>539</v>
      </c>
      <c r="F41" t="s">
        <v>540</v>
      </c>
      <c r="G41" t="s">
        <v>541</v>
      </c>
      <c r="H41" t="s">
        <v>137</v>
      </c>
      <c r="I41" t="s">
        <v>137</v>
      </c>
      <c r="J41">
        <v>2025</v>
      </c>
      <c r="K41" t="s">
        <v>81</v>
      </c>
      <c r="L41" t="s">
        <v>155</v>
      </c>
      <c r="M41" s="1">
        <v>46291</v>
      </c>
      <c r="N41" t="s">
        <v>542</v>
      </c>
      <c r="O41" t="s">
        <v>543</v>
      </c>
    </row>
    <row r="42" spans="1:15" x14ac:dyDescent="0.2">
      <c r="A42" t="s">
        <v>445</v>
      </c>
      <c r="B42" t="s">
        <v>544</v>
      </c>
      <c r="C42" t="s">
        <v>621</v>
      </c>
      <c r="D42">
        <v>57.8</v>
      </c>
      <c r="E42" t="s">
        <v>545</v>
      </c>
      <c r="F42" t="s">
        <v>622</v>
      </c>
      <c r="G42" t="s">
        <v>623</v>
      </c>
      <c r="H42" t="s">
        <v>137</v>
      </c>
      <c r="I42" t="s">
        <v>137</v>
      </c>
      <c r="J42">
        <v>2025</v>
      </c>
      <c r="K42" t="s">
        <v>81</v>
      </c>
      <c r="L42" t="s">
        <v>155</v>
      </c>
      <c r="M42" s="1">
        <v>46291</v>
      </c>
      <c r="N42" t="s">
        <v>546</v>
      </c>
      <c r="O42" t="s">
        <v>547</v>
      </c>
    </row>
    <row r="43" spans="1:15" x14ac:dyDescent="0.2">
      <c r="A43" t="s">
        <v>449</v>
      </c>
      <c r="B43" t="s">
        <v>548</v>
      </c>
      <c r="C43" s="2" t="s">
        <v>549</v>
      </c>
      <c r="D43">
        <v>1.4999999999999999E-2</v>
      </c>
      <c r="E43" t="s">
        <v>550</v>
      </c>
      <c r="F43" t="s">
        <v>551</v>
      </c>
      <c r="G43" t="s">
        <v>552</v>
      </c>
      <c r="H43" t="s">
        <v>137</v>
      </c>
      <c r="I43" t="s">
        <v>137</v>
      </c>
      <c r="J43">
        <v>2025</v>
      </c>
      <c r="K43" t="s">
        <v>81</v>
      </c>
      <c r="L43" t="s">
        <v>138</v>
      </c>
      <c r="M43" s="1">
        <v>46291</v>
      </c>
      <c r="N43" t="s">
        <v>553</v>
      </c>
      <c r="O43" t="s">
        <v>554</v>
      </c>
    </row>
    <row r="44" spans="1:15" x14ac:dyDescent="0.2">
      <c r="A44" t="s">
        <v>471</v>
      </c>
      <c r="B44" t="s">
        <v>555</v>
      </c>
      <c r="C44" t="s">
        <v>556</v>
      </c>
      <c r="D44">
        <v>5.0000000000000001E-3</v>
      </c>
      <c r="E44" t="s">
        <v>550</v>
      </c>
      <c r="F44" t="s">
        <v>557</v>
      </c>
      <c r="G44" t="s">
        <v>558</v>
      </c>
      <c r="H44" t="s">
        <v>137</v>
      </c>
      <c r="I44" t="s">
        <v>137</v>
      </c>
      <c r="J44">
        <v>2025</v>
      </c>
      <c r="K44" t="s">
        <v>81</v>
      </c>
      <c r="L44" t="s">
        <v>138</v>
      </c>
      <c r="M44" s="1">
        <v>46291</v>
      </c>
      <c r="N44" t="s">
        <v>559</v>
      </c>
      <c r="O44" t="s">
        <v>556</v>
      </c>
    </row>
    <row r="45" spans="1:15" x14ac:dyDescent="0.2">
      <c r="A45" t="s">
        <v>474</v>
      </c>
      <c r="B45" t="s">
        <v>560</v>
      </c>
      <c r="C45" t="s">
        <v>556</v>
      </c>
      <c r="D45">
        <v>0.03</v>
      </c>
      <c r="E45" t="s">
        <v>550</v>
      </c>
      <c r="F45" t="s">
        <v>561</v>
      </c>
      <c r="G45" t="s">
        <v>558</v>
      </c>
      <c r="H45" t="s">
        <v>137</v>
      </c>
      <c r="I45" t="s">
        <v>137</v>
      </c>
      <c r="J45">
        <v>2025</v>
      </c>
      <c r="K45" t="s">
        <v>81</v>
      </c>
      <c r="L45" t="s">
        <v>138</v>
      </c>
      <c r="M45" s="1">
        <v>46291</v>
      </c>
      <c r="N45" t="s">
        <v>562</v>
      </c>
      <c r="O45" t="s">
        <v>556</v>
      </c>
    </row>
    <row r="46" spans="1:15" x14ac:dyDescent="0.2">
      <c r="A46" t="s">
        <v>452</v>
      </c>
      <c r="B46" t="s">
        <v>563</v>
      </c>
      <c r="C46" t="s">
        <v>564</v>
      </c>
      <c r="D46">
        <v>30000</v>
      </c>
      <c r="E46" t="s">
        <v>451</v>
      </c>
      <c r="F46" t="s">
        <v>708</v>
      </c>
      <c r="G46" t="s">
        <v>709</v>
      </c>
      <c r="H46" t="s">
        <v>79</v>
      </c>
      <c r="I46" t="s">
        <v>565</v>
      </c>
      <c r="J46">
        <v>2026</v>
      </c>
      <c r="K46" t="s">
        <v>81</v>
      </c>
      <c r="L46" t="s">
        <v>138</v>
      </c>
      <c r="M46" s="1">
        <v>46291</v>
      </c>
      <c r="N46" t="s">
        <v>34</v>
      </c>
      <c r="O46" t="s">
        <v>566</v>
      </c>
    </row>
    <row r="47" spans="1:15" x14ac:dyDescent="0.2">
      <c r="A47" t="s">
        <v>454</v>
      </c>
      <c r="B47" t="s">
        <v>567</v>
      </c>
      <c r="C47" t="s">
        <v>568</v>
      </c>
      <c r="D47">
        <v>0.2</v>
      </c>
      <c r="E47" t="s">
        <v>569</v>
      </c>
      <c r="F47" t="s">
        <v>558</v>
      </c>
      <c r="G47" t="s">
        <v>558</v>
      </c>
      <c r="H47" t="s">
        <v>137</v>
      </c>
      <c r="I47" t="s">
        <v>137</v>
      </c>
      <c r="J47">
        <v>2026</v>
      </c>
      <c r="K47" t="s">
        <v>81</v>
      </c>
      <c r="L47" t="s">
        <v>138</v>
      </c>
      <c r="M47" s="1">
        <v>46291</v>
      </c>
      <c r="N47" t="s">
        <v>553</v>
      </c>
      <c r="O47" t="s">
        <v>570</v>
      </c>
    </row>
    <row r="48" spans="1:15" x14ac:dyDescent="0.2">
      <c r="A48" t="s">
        <v>477</v>
      </c>
      <c r="B48" t="s">
        <v>571</v>
      </c>
      <c r="C48" t="s">
        <v>572</v>
      </c>
      <c r="D48">
        <v>0.1</v>
      </c>
      <c r="E48" t="s">
        <v>569</v>
      </c>
      <c r="F48" t="s">
        <v>573</v>
      </c>
      <c r="G48" t="s">
        <v>558</v>
      </c>
      <c r="H48" t="s">
        <v>137</v>
      </c>
      <c r="I48" t="s">
        <v>137</v>
      </c>
      <c r="J48">
        <v>2026</v>
      </c>
      <c r="K48" t="s">
        <v>81</v>
      </c>
      <c r="L48" t="s">
        <v>138</v>
      </c>
      <c r="M48" s="1">
        <v>46291</v>
      </c>
      <c r="N48" t="s">
        <v>559</v>
      </c>
      <c r="O48" t="s">
        <v>572</v>
      </c>
    </row>
    <row r="49" spans="1:15" x14ac:dyDescent="0.2">
      <c r="A49" t="s">
        <v>480</v>
      </c>
      <c r="B49" t="s">
        <v>574</v>
      </c>
      <c r="C49" t="s">
        <v>572</v>
      </c>
      <c r="D49">
        <v>0.4</v>
      </c>
      <c r="E49" t="s">
        <v>569</v>
      </c>
      <c r="F49" t="s">
        <v>575</v>
      </c>
      <c r="G49" t="s">
        <v>558</v>
      </c>
      <c r="H49" t="s">
        <v>137</v>
      </c>
      <c r="I49" t="s">
        <v>137</v>
      </c>
      <c r="J49">
        <v>2026</v>
      </c>
      <c r="K49" t="s">
        <v>81</v>
      </c>
      <c r="L49" t="s">
        <v>138</v>
      </c>
      <c r="M49" s="1">
        <v>46291</v>
      </c>
      <c r="N49" t="s">
        <v>562</v>
      </c>
      <c r="O49" t="s">
        <v>572</v>
      </c>
    </row>
    <row r="50" spans="1:15" x14ac:dyDescent="0.2">
      <c r="A50" t="s">
        <v>457</v>
      </c>
      <c r="B50" t="s">
        <v>576</v>
      </c>
      <c r="C50" t="s">
        <v>624</v>
      </c>
      <c r="D50">
        <v>60</v>
      </c>
      <c r="E50" t="s">
        <v>456</v>
      </c>
      <c r="F50" t="s">
        <v>577</v>
      </c>
      <c r="G50" t="s">
        <v>578</v>
      </c>
      <c r="H50" t="s">
        <v>137</v>
      </c>
      <c r="I50" t="s">
        <v>137</v>
      </c>
      <c r="J50">
        <v>2025</v>
      </c>
      <c r="K50" t="s">
        <v>81</v>
      </c>
      <c r="L50" t="s">
        <v>138</v>
      </c>
      <c r="M50" s="1">
        <v>46291</v>
      </c>
      <c r="N50" t="s">
        <v>34</v>
      </c>
      <c r="O50" t="s">
        <v>710</v>
      </c>
    </row>
    <row r="51" spans="1:15" x14ac:dyDescent="0.2">
      <c r="A51" t="s">
        <v>459</v>
      </c>
      <c r="B51" t="s">
        <v>579</v>
      </c>
      <c r="C51" t="s">
        <v>580</v>
      </c>
      <c r="D51">
        <v>200000</v>
      </c>
      <c r="E51" t="s">
        <v>377</v>
      </c>
      <c r="F51" t="s">
        <v>581</v>
      </c>
      <c r="G51" t="s">
        <v>558</v>
      </c>
      <c r="H51" t="s">
        <v>137</v>
      </c>
      <c r="I51" t="s">
        <v>137</v>
      </c>
      <c r="J51">
        <v>2025</v>
      </c>
      <c r="K51" t="s">
        <v>81</v>
      </c>
      <c r="L51" t="s">
        <v>138</v>
      </c>
      <c r="M51" s="1">
        <v>46291</v>
      </c>
      <c r="N51" t="s">
        <v>34</v>
      </c>
      <c r="O51" t="s">
        <v>582</v>
      </c>
    </row>
    <row r="52" spans="1:15" x14ac:dyDescent="0.2">
      <c r="A52" t="s">
        <v>487</v>
      </c>
      <c r="B52" t="s">
        <v>583</v>
      </c>
      <c r="C52" t="s">
        <v>736</v>
      </c>
      <c r="D52">
        <v>0.3</v>
      </c>
      <c r="E52" t="s">
        <v>584</v>
      </c>
      <c r="F52" t="s">
        <v>737</v>
      </c>
      <c r="G52" t="s">
        <v>738</v>
      </c>
      <c r="H52" t="s">
        <v>734</v>
      </c>
      <c r="I52" t="s">
        <v>739</v>
      </c>
      <c r="J52">
        <v>2025</v>
      </c>
      <c r="K52" t="s">
        <v>81</v>
      </c>
      <c r="L52" t="s">
        <v>138</v>
      </c>
      <c r="M52" s="1">
        <v>46292</v>
      </c>
      <c r="N52" t="s">
        <v>705</v>
      </c>
      <c r="O52" t="s">
        <v>740</v>
      </c>
    </row>
    <row r="53" spans="1:15" x14ac:dyDescent="0.2">
      <c r="A53" t="s">
        <v>490</v>
      </c>
      <c r="B53" t="s">
        <v>585</v>
      </c>
      <c r="C53" t="s">
        <v>580</v>
      </c>
      <c r="D53">
        <v>6000</v>
      </c>
      <c r="E53" t="s">
        <v>489</v>
      </c>
      <c r="F53" t="s">
        <v>586</v>
      </c>
      <c r="G53" t="s">
        <v>558</v>
      </c>
      <c r="H53" t="s">
        <v>137</v>
      </c>
      <c r="I53" t="s">
        <v>137</v>
      </c>
      <c r="J53">
        <v>2025</v>
      </c>
      <c r="K53" t="s">
        <v>81</v>
      </c>
      <c r="L53" t="s">
        <v>138</v>
      </c>
      <c r="M53" s="1">
        <v>46291</v>
      </c>
      <c r="N53" t="s">
        <v>587</v>
      </c>
      <c r="O53" t="s">
        <v>588</v>
      </c>
    </row>
    <row r="54" spans="1:15" x14ac:dyDescent="0.2">
      <c r="A54" t="s">
        <v>495</v>
      </c>
      <c r="B54" t="s">
        <v>589</v>
      </c>
      <c r="C54" t="s">
        <v>741</v>
      </c>
      <c r="D54">
        <v>0.01</v>
      </c>
      <c r="E54" t="s">
        <v>590</v>
      </c>
      <c r="F54" t="s">
        <v>742</v>
      </c>
      <c r="G54" t="s">
        <v>743</v>
      </c>
      <c r="H54" t="s">
        <v>726</v>
      </c>
      <c r="I54" t="s">
        <v>744</v>
      </c>
      <c r="J54">
        <v>2025</v>
      </c>
      <c r="K54" t="s">
        <v>81</v>
      </c>
      <c r="L54" t="s">
        <v>138</v>
      </c>
      <c r="M54" s="1">
        <v>46292</v>
      </c>
      <c r="N54" t="s">
        <v>357</v>
      </c>
      <c r="O54" t="s">
        <v>745</v>
      </c>
    </row>
    <row r="55" spans="1:15" x14ac:dyDescent="0.2">
      <c r="A55" t="s">
        <v>496</v>
      </c>
      <c r="B55" t="s">
        <v>591</v>
      </c>
      <c r="C55" t="s">
        <v>580</v>
      </c>
      <c r="D55">
        <v>100000</v>
      </c>
      <c r="E55" t="s">
        <v>377</v>
      </c>
      <c r="F55" t="s">
        <v>592</v>
      </c>
      <c r="G55" t="s">
        <v>558</v>
      </c>
      <c r="H55" t="s">
        <v>137</v>
      </c>
      <c r="I55" t="s">
        <v>137</v>
      </c>
      <c r="J55">
        <v>2025</v>
      </c>
      <c r="K55" t="s">
        <v>81</v>
      </c>
      <c r="L55" t="s">
        <v>138</v>
      </c>
      <c r="M55" s="1">
        <v>46291</v>
      </c>
      <c r="N55" t="s">
        <v>357</v>
      </c>
      <c r="O55" t="s">
        <v>593</v>
      </c>
    </row>
    <row r="56" spans="1:15" x14ac:dyDescent="0.2">
      <c r="A56" t="s">
        <v>432</v>
      </c>
      <c r="B56" t="s">
        <v>594</v>
      </c>
      <c r="C56" t="s">
        <v>580</v>
      </c>
      <c r="D56">
        <v>0.1</v>
      </c>
      <c r="E56" t="s">
        <v>595</v>
      </c>
      <c r="F56" t="s">
        <v>711</v>
      </c>
      <c r="G56" t="s">
        <v>558</v>
      </c>
      <c r="H56" t="s">
        <v>137</v>
      </c>
      <c r="I56" t="s">
        <v>137</v>
      </c>
      <c r="J56">
        <v>2025</v>
      </c>
      <c r="K56" t="s">
        <v>81</v>
      </c>
      <c r="L56" t="s">
        <v>138</v>
      </c>
      <c r="M56" s="1">
        <v>46291</v>
      </c>
      <c r="N56" t="s">
        <v>596</v>
      </c>
      <c r="O56" t="s">
        <v>712</v>
      </c>
    </row>
    <row r="57" spans="1:15" x14ac:dyDescent="0.2">
      <c r="A57" t="s">
        <v>436</v>
      </c>
      <c r="B57" t="s">
        <v>597</v>
      </c>
      <c r="C57" t="s">
        <v>598</v>
      </c>
      <c r="D57">
        <v>0.05</v>
      </c>
      <c r="E57" t="s">
        <v>595</v>
      </c>
      <c r="F57" t="s">
        <v>573</v>
      </c>
      <c r="G57" t="s">
        <v>558</v>
      </c>
      <c r="H57" t="s">
        <v>137</v>
      </c>
      <c r="I57" t="s">
        <v>137</v>
      </c>
      <c r="J57">
        <v>2025</v>
      </c>
      <c r="K57" t="s">
        <v>81</v>
      </c>
      <c r="L57" t="s">
        <v>138</v>
      </c>
      <c r="M57" s="1">
        <v>46291</v>
      </c>
      <c r="N57" t="s">
        <v>599</v>
      </c>
      <c r="O57" t="s">
        <v>598</v>
      </c>
    </row>
    <row r="58" spans="1:15" x14ac:dyDescent="0.2">
      <c r="A58" t="s">
        <v>438</v>
      </c>
      <c r="B58" t="s">
        <v>600</v>
      </c>
      <c r="C58" t="s">
        <v>598</v>
      </c>
      <c r="D58">
        <v>0.15</v>
      </c>
      <c r="E58" t="s">
        <v>595</v>
      </c>
      <c r="F58" t="s">
        <v>575</v>
      </c>
      <c r="G58" t="s">
        <v>558</v>
      </c>
      <c r="H58" t="s">
        <v>137</v>
      </c>
      <c r="I58" t="s">
        <v>137</v>
      </c>
      <c r="J58">
        <v>2025</v>
      </c>
      <c r="K58" t="s">
        <v>81</v>
      </c>
      <c r="L58" t="s">
        <v>138</v>
      </c>
      <c r="M58" s="1">
        <v>46291</v>
      </c>
      <c r="N58" t="s">
        <v>601</v>
      </c>
      <c r="O58" t="s">
        <v>598</v>
      </c>
    </row>
    <row r="59" spans="1:15" x14ac:dyDescent="0.2">
      <c r="A59" t="s">
        <v>503</v>
      </c>
      <c r="B59" t="s">
        <v>602</v>
      </c>
      <c r="C59" t="s">
        <v>746</v>
      </c>
      <c r="D59">
        <v>0.92</v>
      </c>
      <c r="E59" t="s">
        <v>603</v>
      </c>
      <c r="F59" t="s">
        <v>747</v>
      </c>
      <c r="G59" t="s">
        <v>748</v>
      </c>
      <c r="H59" t="s">
        <v>726</v>
      </c>
      <c r="J59">
        <v>2025</v>
      </c>
      <c r="K59" t="s">
        <v>81</v>
      </c>
      <c r="L59" t="s">
        <v>138</v>
      </c>
      <c r="M59" s="1">
        <v>46292</v>
      </c>
      <c r="N59" t="s">
        <v>713</v>
      </c>
      <c r="O59" t="s">
        <v>749</v>
      </c>
    </row>
    <row r="60" spans="1:15" x14ac:dyDescent="0.2">
      <c r="A60" t="s">
        <v>510</v>
      </c>
      <c r="B60" t="s">
        <v>605</v>
      </c>
      <c r="C60" t="s">
        <v>580</v>
      </c>
      <c r="D60">
        <v>500</v>
      </c>
      <c r="E60" t="s">
        <v>509</v>
      </c>
      <c r="F60" t="s">
        <v>586</v>
      </c>
      <c r="G60" t="s">
        <v>558</v>
      </c>
      <c r="H60" t="s">
        <v>137</v>
      </c>
      <c r="I60" t="s">
        <v>137</v>
      </c>
      <c r="J60">
        <v>2025</v>
      </c>
      <c r="K60" t="s">
        <v>81</v>
      </c>
      <c r="L60" t="s">
        <v>138</v>
      </c>
      <c r="M60" s="1">
        <v>46291</v>
      </c>
      <c r="N60" t="s">
        <v>604</v>
      </c>
      <c r="O60" t="s">
        <v>606</v>
      </c>
    </row>
    <row r="61" spans="1:15" x14ac:dyDescent="0.2">
      <c r="A61" t="s">
        <v>505</v>
      </c>
      <c r="B61" t="s">
        <v>607</v>
      </c>
      <c r="C61" t="s">
        <v>608</v>
      </c>
      <c r="D61">
        <v>0</v>
      </c>
      <c r="E61" t="s">
        <v>609</v>
      </c>
      <c r="F61" t="s">
        <v>610</v>
      </c>
      <c r="G61" t="s">
        <v>714</v>
      </c>
      <c r="H61" t="s">
        <v>137</v>
      </c>
      <c r="I61" t="s">
        <v>137</v>
      </c>
      <c r="J61">
        <v>2025</v>
      </c>
      <c r="K61" t="s">
        <v>81</v>
      </c>
      <c r="L61" t="s">
        <v>138</v>
      </c>
      <c r="M61" s="1">
        <v>46291</v>
      </c>
      <c r="N61" t="s">
        <v>604</v>
      </c>
      <c r="O61" t="s">
        <v>715</v>
      </c>
    </row>
    <row r="62" spans="1:15" x14ac:dyDescent="0.2">
      <c r="A62" t="s">
        <v>511</v>
      </c>
      <c r="B62" t="s">
        <v>611</v>
      </c>
      <c r="C62" t="s">
        <v>580</v>
      </c>
      <c r="D62">
        <v>100000</v>
      </c>
      <c r="E62" t="s">
        <v>377</v>
      </c>
      <c r="F62" t="s">
        <v>612</v>
      </c>
      <c r="G62" t="s">
        <v>558</v>
      </c>
      <c r="H62" t="s">
        <v>137</v>
      </c>
      <c r="I62" t="s">
        <v>137</v>
      </c>
      <c r="J62">
        <v>2025</v>
      </c>
      <c r="K62" t="s">
        <v>81</v>
      </c>
      <c r="L62" t="s">
        <v>138</v>
      </c>
      <c r="M62" s="1">
        <v>46291</v>
      </c>
      <c r="N62" t="s">
        <v>604</v>
      </c>
      <c r="O62" t="s">
        <v>613</v>
      </c>
    </row>
    <row r="63" spans="1:15" x14ac:dyDescent="0.2">
      <c r="A63" t="s">
        <v>625</v>
      </c>
      <c r="B63" t="s">
        <v>627</v>
      </c>
      <c r="C63" t="s">
        <v>628</v>
      </c>
      <c r="D63">
        <v>56.2</v>
      </c>
      <c r="E63" t="s">
        <v>545</v>
      </c>
      <c r="F63" t="s">
        <v>629</v>
      </c>
      <c r="G63" t="s">
        <v>630</v>
      </c>
      <c r="H63" t="s">
        <v>137</v>
      </c>
      <c r="I63" t="s">
        <v>137</v>
      </c>
      <c r="J63">
        <v>2024</v>
      </c>
      <c r="K63" t="s">
        <v>81</v>
      </c>
      <c r="L63" t="s">
        <v>155</v>
      </c>
      <c r="M63" s="1">
        <v>46292</v>
      </c>
      <c r="N63" t="s">
        <v>631</v>
      </c>
      <c r="O63" t="s">
        <v>632</v>
      </c>
    </row>
    <row r="64" spans="1:15" x14ac:dyDescent="0.2">
      <c r="A64" t="s">
        <v>716</v>
      </c>
      <c r="B64" t="s">
        <v>717</v>
      </c>
      <c r="C64" t="s">
        <v>718</v>
      </c>
      <c r="D64">
        <v>165</v>
      </c>
      <c r="E64" t="s">
        <v>719</v>
      </c>
      <c r="G64" t="s">
        <v>142</v>
      </c>
      <c r="H64" t="s">
        <v>87</v>
      </c>
      <c r="I64" t="s">
        <v>720</v>
      </c>
      <c r="J64">
        <v>2025</v>
      </c>
      <c r="K64" t="s">
        <v>99</v>
      </c>
      <c r="L64" t="s">
        <v>60</v>
      </c>
      <c r="M64" s="1">
        <v>46292</v>
      </c>
      <c r="N64" t="s">
        <v>721</v>
      </c>
      <c r="O64" t="s">
        <v>722</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B0643-83A2-AA4F-8C67-1D83CAF37A07}">
  <dimension ref="A1:N14"/>
  <sheetViews>
    <sheetView workbookViewId="0">
      <selection activeCell="N14" sqref="N14"/>
    </sheetView>
  </sheetViews>
  <sheetFormatPr baseColWidth="10" defaultRowHeight="16" x14ac:dyDescent="0.2"/>
  <cols>
    <col min="2" max="2" width="19.6640625" customWidth="1"/>
    <col min="3" max="3" width="19.5" customWidth="1"/>
    <col min="4" max="4" width="18" customWidth="1"/>
    <col min="5" max="5" width="14.1640625" customWidth="1"/>
    <col min="6" max="6" width="20.1640625" customWidth="1"/>
  </cols>
  <sheetData>
    <row r="1" spans="1:14" x14ac:dyDescent="0.2">
      <c r="A1" t="s">
        <v>0</v>
      </c>
      <c r="B1" t="s">
        <v>17</v>
      </c>
      <c r="C1" t="s">
        <v>18</v>
      </c>
      <c r="D1" t="s">
        <v>19</v>
      </c>
      <c r="E1" t="s">
        <v>20</v>
      </c>
      <c r="F1" t="s">
        <v>21</v>
      </c>
      <c r="G1" t="s">
        <v>22</v>
      </c>
      <c r="H1" t="s">
        <v>23</v>
      </c>
      <c r="I1" t="s">
        <v>24</v>
      </c>
      <c r="J1" t="s">
        <v>25</v>
      </c>
      <c r="K1" t="s">
        <v>26</v>
      </c>
      <c r="L1" t="s">
        <v>27</v>
      </c>
      <c r="M1" t="s">
        <v>404</v>
      </c>
      <c r="N1" t="s">
        <v>310</v>
      </c>
    </row>
    <row r="2" spans="1:14" x14ac:dyDescent="0.2">
      <c r="A2" t="s">
        <v>34</v>
      </c>
      <c r="B2" t="s">
        <v>381</v>
      </c>
      <c r="C2" t="s">
        <v>364</v>
      </c>
      <c r="D2" t="s">
        <v>311</v>
      </c>
      <c r="E2" t="s">
        <v>312</v>
      </c>
      <c r="F2" t="s">
        <v>313</v>
      </c>
      <c r="G2">
        <v>3</v>
      </c>
      <c r="H2">
        <v>2</v>
      </c>
      <c r="I2">
        <v>2</v>
      </c>
      <c r="J2">
        <v>3</v>
      </c>
      <c r="K2">
        <f>SUM($G2:$J2)</f>
        <v>10</v>
      </c>
      <c r="L2">
        <v>1</v>
      </c>
      <c r="M2" t="s">
        <v>382</v>
      </c>
      <c r="N2" t="s">
        <v>405</v>
      </c>
    </row>
    <row r="3" spans="1:14" x14ac:dyDescent="0.2">
      <c r="A3" t="s">
        <v>35</v>
      </c>
      <c r="B3" t="s">
        <v>314</v>
      </c>
      <c r="C3" t="s">
        <v>365</v>
      </c>
      <c r="D3" t="s">
        <v>315</v>
      </c>
      <c r="E3" t="s">
        <v>316</v>
      </c>
      <c r="F3" t="s">
        <v>317</v>
      </c>
      <c r="G3">
        <v>2</v>
      </c>
      <c r="H3">
        <v>1</v>
      </c>
      <c r="I3">
        <v>2</v>
      </c>
      <c r="J3">
        <v>3</v>
      </c>
      <c r="K3">
        <f t="shared" ref="K3:K14" si="0">SUM($G3:$J3)</f>
        <v>8</v>
      </c>
      <c r="L3">
        <v>3</v>
      </c>
      <c r="M3" t="s">
        <v>382</v>
      </c>
      <c r="N3" t="s">
        <v>406</v>
      </c>
    </row>
    <row r="4" spans="1:14" x14ac:dyDescent="0.2">
      <c r="A4" t="s">
        <v>36</v>
      </c>
      <c r="B4" t="s">
        <v>318</v>
      </c>
      <c r="C4" t="s">
        <v>366</v>
      </c>
      <c r="D4" t="s">
        <v>319</v>
      </c>
      <c r="E4" t="s">
        <v>320</v>
      </c>
      <c r="F4" t="s">
        <v>321</v>
      </c>
      <c r="G4">
        <v>1</v>
      </c>
      <c r="H4">
        <v>1</v>
      </c>
      <c r="I4">
        <v>2</v>
      </c>
      <c r="J4">
        <v>3</v>
      </c>
      <c r="K4">
        <f t="shared" si="0"/>
        <v>7</v>
      </c>
      <c r="L4">
        <v>7</v>
      </c>
      <c r="M4" t="s">
        <v>383</v>
      </c>
      <c r="N4" t="s">
        <v>396</v>
      </c>
    </row>
    <row r="5" spans="1:14" x14ac:dyDescent="0.2">
      <c r="A5" t="s">
        <v>322</v>
      </c>
      <c r="B5" t="s">
        <v>323</v>
      </c>
      <c r="C5" t="s">
        <v>367</v>
      </c>
      <c r="D5" t="s">
        <v>324</v>
      </c>
      <c r="E5" t="s">
        <v>325</v>
      </c>
      <c r="F5" t="s">
        <v>326</v>
      </c>
      <c r="G5">
        <v>1</v>
      </c>
      <c r="H5">
        <v>1</v>
      </c>
      <c r="I5">
        <v>2</v>
      </c>
      <c r="J5">
        <v>2</v>
      </c>
      <c r="K5">
        <f t="shared" si="0"/>
        <v>6</v>
      </c>
      <c r="L5">
        <v>8</v>
      </c>
      <c r="M5" t="s">
        <v>383</v>
      </c>
      <c r="N5" t="s">
        <v>397</v>
      </c>
    </row>
    <row r="6" spans="1:14" x14ac:dyDescent="0.2">
      <c r="A6" t="s">
        <v>327</v>
      </c>
      <c r="B6" t="s">
        <v>328</v>
      </c>
      <c r="C6" t="s">
        <v>368</v>
      </c>
      <c r="D6" t="s">
        <v>329</v>
      </c>
      <c r="E6" t="s">
        <v>330</v>
      </c>
      <c r="F6" t="s">
        <v>331</v>
      </c>
      <c r="G6">
        <v>1</v>
      </c>
      <c r="H6">
        <v>1</v>
      </c>
      <c r="I6">
        <v>1</v>
      </c>
      <c r="J6">
        <v>3</v>
      </c>
      <c r="K6">
        <f t="shared" si="0"/>
        <v>6</v>
      </c>
      <c r="L6">
        <v>8</v>
      </c>
      <c r="M6" t="s">
        <v>383</v>
      </c>
      <c r="N6" t="s">
        <v>398</v>
      </c>
    </row>
    <row r="7" spans="1:14" x14ac:dyDescent="0.2">
      <c r="A7" t="s">
        <v>332</v>
      </c>
      <c r="B7" t="s">
        <v>333</v>
      </c>
      <c r="C7" t="s">
        <v>369</v>
      </c>
      <c r="D7" t="s">
        <v>334</v>
      </c>
      <c r="E7" t="s">
        <v>335</v>
      </c>
      <c r="F7" t="s">
        <v>336</v>
      </c>
      <c r="G7">
        <v>2</v>
      </c>
      <c r="H7">
        <v>1</v>
      </c>
      <c r="I7">
        <v>2</v>
      </c>
      <c r="J7">
        <v>3</v>
      </c>
      <c r="K7">
        <f t="shared" si="0"/>
        <v>8</v>
      </c>
      <c r="L7">
        <v>4</v>
      </c>
      <c r="M7" t="s">
        <v>383</v>
      </c>
      <c r="N7" t="s">
        <v>407</v>
      </c>
    </row>
    <row r="8" spans="1:14" x14ac:dyDescent="0.2">
      <c r="A8" t="s">
        <v>337</v>
      </c>
      <c r="B8" t="s">
        <v>338</v>
      </c>
      <c r="C8" t="s">
        <v>370</v>
      </c>
      <c r="D8" t="s">
        <v>339</v>
      </c>
      <c r="E8" t="s">
        <v>340</v>
      </c>
      <c r="F8" t="s">
        <v>341</v>
      </c>
      <c r="G8">
        <v>2</v>
      </c>
      <c r="H8">
        <v>1</v>
      </c>
      <c r="I8">
        <v>2</v>
      </c>
      <c r="J8">
        <v>2</v>
      </c>
      <c r="K8">
        <f t="shared" si="0"/>
        <v>7</v>
      </c>
      <c r="L8">
        <v>5</v>
      </c>
      <c r="M8" t="s">
        <v>383</v>
      </c>
      <c r="N8" t="s">
        <v>399</v>
      </c>
    </row>
    <row r="9" spans="1:14" x14ac:dyDescent="0.2">
      <c r="A9" t="s">
        <v>342</v>
      </c>
      <c r="B9" t="s">
        <v>343</v>
      </c>
      <c r="C9" t="s">
        <v>371</v>
      </c>
      <c r="D9" t="s">
        <v>344</v>
      </c>
      <c r="E9" t="s">
        <v>345</v>
      </c>
      <c r="F9" t="s">
        <v>346</v>
      </c>
      <c r="G9">
        <v>1</v>
      </c>
      <c r="H9">
        <v>1</v>
      </c>
      <c r="I9">
        <v>1</v>
      </c>
      <c r="J9">
        <v>2</v>
      </c>
      <c r="K9">
        <f t="shared" si="0"/>
        <v>5</v>
      </c>
      <c r="L9">
        <v>10</v>
      </c>
      <c r="M9" t="s">
        <v>383</v>
      </c>
      <c r="N9" t="s">
        <v>400</v>
      </c>
    </row>
    <row r="10" spans="1:14" x14ac:dyDescent="0.2">
      <c r="A10" t="s">
        <v>347</v>
      </c>
      <c r="B10" t="s">
        <v>348</v>
      </c>
      <c r="C10" t="s">
        <v>372</v>
      </c>
      <c r="D10" t="s">
        <v>349</v>
      </c>
      <c r="E10" t="s">
        <v>350</v>
      </c>
      <c r="F10" t="s">
        <v>351</v>
      </c>
      <c r="G10">
        <v>3</v>
      </c>
      <c r="H10">
        <v>1</v>
      </c>
      <c r="I10">
        <v>2</v>
      </c>
      <c r="J10">
        <v>2</v>
      </c>
      <c r="K10">
        <f t="shared" si="0"/>
        <v>8</v>
      </c>
      <c r="M10" t="s">
        <v>384</v>
      </c>
      <c r="N10" t="s">
        <v>408</v>
      </c>
    </row>
    <row r="11" spans="1:14" x14ac:dyDescent="0.2">
      <c r="A11" t="s">
        <v>352</v>
      </c>
      <c r="B11" t="s">
        <v>353</v>
      </c>
      <c r="C11" t="s">
        <v>373</v>
      </c>
      <c r="D11" t="s">
        <v>354</v>
      </c>
      <c r="E11" t="s">
        <v>355</v>
      </c>
      <c r="F11" t="s">
        <v>356</v>
      </c>
      <c r="M11" t="s">
        <v>383</v>
      </c>
      <c r="N11" t="s">
        <v>395</v>
      </c>
    </row>
    <row r="12" spans="1:14" x14ac:dyDescent="0.2">
      <c r="A12" t="s">
        <v>357</v>
      </c>
      <c r="B12" t="s">
        <v>358</v>
      </c>
      <c r="C12" t="s">
        <v>374</v>
      </c>
      <c r="D12" t="s">
        <v>359</v>
      </c>
      <c r="E12" t="s">
        <v>360</v>
      </c>
      <c r="F12" t="s">
        <v>361</v>
      </c>
      <c r="G12">
        <v>3</v>
      </c>
      <c r="H12">
        <v>1</v>
      </c>
      <c r="I12">
        <v>3</v>
      </c>
      <c r="J12">
        <v>2</v>
      </c>
      <c r="K12">
        <f t="shared" si="0"/>
        <v>9</v>
      </c>
      <c r="L12">
        <v>2</v>
      </c>
      <c r="M12" t="s">
        <v>382</v>
      </c>
      <c r="N12" t="s">
        <v>401</v>
      </c>
    </row>
    <row r="13" spans="1:14" x14ac:dyDescent="0.2">
      <c r="A13" t="s">
        <v>362</v>
      </c>
      <c r="B13" t="s">
        <v>385</v>
      </c>
      <c r="C13" t="s">
        <v>386</v>
      </c>
      <c r="D13" t="s">
        <v>387</v>
      </c>
      <c r="E13" t="s">
        <v>388</v>
      </c>
      <c r="F13" t="s">
        <v>389</v>
      </c>
      <c r="G13">
        <v>2</v>
      </c>
      <c r="H13">
        <v>1</v>
      </c>
      <c r="I13">
        <v>2</v>
      </c>
      <c r="J13">
        <v>2</v>
      </c>
      <c r="K13">
        <f t="shared" si="0"/>
        <v>7</v>
      </c>
      <c r="L13">
        <v>5</v>
      </c>
      <c r="M13" t="s">
        <v>383</v>
      </c>
      <c r="N13" t="s">
        <v>402</v>
      </c>
    </row>
    <row r="14" spans="1:14" x14ac:dyDescent="0.2">
      <c r="A14" t="s">
        <v>363</v>
      </c>
      <c r="B14" t="s">
        <v>390</v>
      </c>
      <c r="C14" t="s">
        <v>391</v>
      </c>
      <c r="D14" t="s">
        <v>392</v>
      </c>
      <c r="E14" t="s">
        <v>393</v>
      </c>
      <c r="F14" t="s">
        <v>394</v>
      </c>
      <c r="G14">
        <v>1</v>
      </c>
      <c r="H14">
        <v>1</v>
      </c>
      <c r="I14">
        <v>1</v>
      </c>
      <c r="J14">
        <v>2</v>
      </c>
      <c r="K14">
        <f t="shared" si="0"/>
        <v>5</v>
      </c>
      <c r="L14">
        <v>10</v>
      </c>
      <c r="M14" t="s">
        <v>383</v>
      </c>
      <c r="N14" t="s">
        <v>403</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5E6EA-18D5-7848-B33D-97CCC0C887DD}">
  <dimension ref="A1:G70"/>
  <sheetViews>
    <sheetView tabSelected="1" workbookViewId="0">
      <selection activeCell="G70" sqref="G70"/>
    </sheetView>
  </sheetViews>
  <sheetFormatPr baseColWidth="10" defaultRowHeight="16" x14ac:dyDescent="0.2"/>
  <cols>
    <col min="1" max="1" width="38.33203125" customWidth="1"/>
    <col min="2" max="2" width="13.5" bestFit="1" customWidth="1"/>
    <col min="3" max="3" width="22.5" bestFit="1" customWidth="1"/>
    <col min="4" max="4" width="12.1640625" bestFit="1" customWidth="1"/>
    <col min="5" max="5" width="4" bestFit="1" customWidth="1"/>
    <col min="6" max="6" width="9.1640625" bestFit="1" customWidth="1"/>
  </cols>
  <sheetData>
    <row r="1" spans="1:7" x14ac:dyDescent="0.2">
      <c r="A1" t="s">
        <v>409</v>
      </c>
      <c r="B1" t="s">
        <v>636</v>
      </c>
      <c r="C1" t="s">
        <v>8</v>
      </c>
      <c r="D1" t="s">
        <v>410</v>
      </c>
      <c r="E1" t="s">
        <v>411</v>
      </c>
      <c r="F1" t="s">
        <v>412</v>
      </c>
      <c r="G1" t="s">
        <v>4</v>
      </c>
    </row>
    <row r="2" spans="1:7" x14ac:dyDescent="0.2">
      <c r="A2" t="s">
        <v>413</v>
      </c>
    </row>
    <row r="3" spans="1:7" x14ac:dyDescent="0.2">
      <c r="A3" t="s">
        <v>414</v>
      </c>
      <c r="B3" t="s">
        <v>637</v>
      </c>
      <c r="C3" t="s">
        <v>415</v>
      </c>
      <c r="D3">
        <f>INDEX(assumptions!$D:$D,MATCH($F3,assumptions!$A:$A,0))</f>
        <v>1050000</v>
      </c>
      <c r="E3" t="s">
        <v>155</v>
      </c>
      <c r="F3" t="s">
        <v>416</v>
      </c>
      <c r="G3" t="s">
        <v>417</v>
      </c>
    </row>
    <row r="4" spans="1:7" x14ac:dyDescent="0.2">
      <c r="A4" t="s">
        <v>418</v>
      </c>
      <c r="B4" t="s">
        <v>638</v>
      </c>
      <c r="C4" t="s">
        <v>419</v>
      </c>
      <c r="D4">
        <f>INDEX(assumptions!$D:$D,MATCH($F4,assumptions!$A:$A,0))</f>
        <v>1.1080000000000001</v>
      </c>
      <c r="E4" t="s">
        <v>155</v>
      </c>
      <c r="F4" t="s">
        <v>420</v>
      </c>
    </row>
    <row r="5" spans="1:7" x14ac:dyDescent="0.2">
      <c r="A5" t="s">
        <v>421</v>
      </c>
      <c r="B5" t="s">
        <v>639</v>
      </c>
      <c r="C5" t="s">
        <v>151</v>
      </c>
      <c r="D5">
        <f>INDEX(assumptions!$D:$D,MATCH($F5,assumptions!$A:$A,0))</f>
        <v>3.875E-2</v>
      </c>
      <c r="E5" t="s">
        <v>155</v>
      </c>
      <c r="F5" t="s">
        <v>166</v>
      </c>
      <c r="G5" t="s">
        <v>633</v>
      </c>
    </row>
    <row r="6" spans="1:7" x14ac:dyDescent="0.2">
      <c r="A6" t="s">
        <v>422</v>
      </c>
      <c r="B6" t="s">
        <v>640</v>
      </c>
      <c r="C6" t="s">
        <v>377</v>
      </c>
      <c r="D6">
        <f>D3*D4*D5*1000</f>
        <v>45081750</v>
      </c>
      <c r="G6" t="s">
        <v>641</v>
      </c>
    </row>
    <row r="7" spans="1:7" x14ac:dyDescent="0.2">
      <c r="A7" t="s">
        <v>423</v>
      </c>
      <c r="B7" t="s">
        <v>642</v>
      </c>
      <c r="C7" t="s">
        <v>241</v>
      </c>
      <c r="D7">
        <f>INDEX(assumptions!$D:$D,MATCH($F7,assumptions!$A:$A,0))</f>
        <v>211078</v>
      </c>
      <c r="E7" t="s">
        <v>60</v>
      </c>
      <c r="F7" t="s">
        <v>239</v>
      </c>
    </row>
    <row r="8" spans="1:7" x14ac:dyDescent="0.2">
      <c r="A8" t="s">
        <v>424</v>
      </c>
      <c r="B8" t="s">
        <v>60</v>
      </c>
      <c r="C8" t="s">
        <v>248</v>
      </c>
      <c r="D8">
        <f>INDEX(assumptions!$D:$D,MATCH($F8,assumptions!$A:$A,0))</f>
        <v>61633</v>
      </c>
      <c r="E8" t="s">
        <v>60</v>
      </c>
      <c r="F8" t="s">
        <v>246</v>
      </c>
    </row>
    <row r="9" spans="1:7" x14ac:dyDescent="0.2">
      <c r="A9" t="s">
        <v>425</v>
      </c>
      <c r="B9" t="s">
        <v>643</v>
      </c>
      <c r="C9" t="s">
        <v>179</v>
      </c>
      <c r="D9">
        <f>INDEX(assumptions!$D:$D,MATCH($F9,assumptions!$A:$A,0))</f>
        <v>74</v>
      </c>
      <c r="E9" t="s">
        <v>60</v>
      </c>
      <c r="F9" t="s">
        <v>184</v>
      </c>
    </row>
    <row r="10" spans="1:7" x14ac:dyDescent="0.2">
      <c r="A10" t="s">
        <v>426</v>
      </c>
      <c r="B10" t="s">
        <v>644</v>
      </c>
      <c r="C10" t="s">
        <v>377</v>
      </c>
      <c r="D10">
        <f>(D7-D8)*D9</f>
        <v>11058930</v>
      </c>
      <c r="G10" t="s">
        <v>645</v>
      </c>
    </row>
    <row r="11" spans="1:7" x14ac:dyDescent="0.2">
      <c r="A11" t="s">
        <v>427</v>
      </c>
      <c r="B11" t="s">
        <v>646</v>
      </c>
      <c r="C11" t="s">
        <v>377</v>
      </c>
      <c r="D11">
        <f>D6+D10</f>
        <v>56140680</v>
      </c>
      <c r="G11" t="s">
        <v>647</v>
      </c>
    </row>
    <row r="12" spans="1:7" x14ac:dyDescent="0.2">
      <c r="A12" t="s">
        <v>428</v>
      </c>
      <c r="B12" t="s">
        <v>648</v>
      </c>
      <c r="C12" t="s">
        <v>429</v>
      </c>
      <c r="D12">
        <f>INDEX(assumptions!$D:$D,MATCH($F12,assumptions!$A:$A,0))</f>
        <v>8988674.6987951808</v>
      </c>
      <c r="E12" t="s">
        <v>138</v>
      </c>
      <c r="F12" t="s">
        <v>132</v>
      </c>
    </row>
    <row r="13" spans="1:7" x14ac:dyDescent="0.2">
      <c r="A13" t="s">
        <v>430</v>
      </c>
      <c r="B13" t="s">
        <v>649</v>
      </c>
      <c r="C13" t="s">
        <v>431</v>
      </c>
      <c r="D13">
        <f>INDEX(assumptions!$D:$D,MATCH($F13,assumptions!$A:$A,0))</f>
        <v>0.1</v>
      </c>
      <c r="E13" t="s">
        <v>138</v>
      </c>
      <c r="F13" t="s">
        <v>432</v>
      </c>
      <c r="G13" t="s">
        <v>433</v>
      </c>
    </row>
    <row r="14" spans="1:7" x14ac:dyDescent="0.2">
      <c r="A14" t="s">
        <v>434</v>
      </c>
      <c r="B14" t="s">
        <v>650</v>
      </c>
      <c r="C14" t="s">
        <v>429</v>
      </c>
      <c r="D14">
        <f>D12*D13</f>
        <v>898867.46987951815</v>
      </c>
      <c r="G14" t="s">
        <v>651</v>
      </c>
    </row>
    <row r="15" spans="1:7" x14ac:dyDescent="0.2">
      <c r="A15" t="s">
        <v>435</v>
      </c>
      <c r="B15" t="s">
        <v>652</v>
      </c>
      <c r="C15" t="s">
        <v>429</v>
      </c>
      <c r="D15">
        <f>D12*INDEX(assumptions!$D:$D,MATCH($F15,assumptions!$A:$A,0))</f>
        <v>449433.73493975907</v>
      </c>
      <c r="E15" t="s">
        <v>138</v>
      </c>
      <c r="F15" t="s">
        <v>436</v>
      </c>
      <c r="G15" t="s">
        <v>653</v>
      </c>
    </row>
    <row r="16" spans="1:7" x14ac:dyDescent="0.2">
      <c r="A16" t="s">
        <v>437</v>
      </c>
      <c r="B16" t="s">
        <v>654</v>
      </c>
      <c r="C16" t="s">
        <v>429</v>
      </c>
      <c r="D16">
        <f>D12*INDEX(assumptions!$D:$D,MATCH($F16,assumptions!$A:$A,0))</f>
        <v>1348301.2048192772</v>
      </c>
      <c r="E16" t="s">
        <v>138</v>
      </c>
      <c r="F16" t="s">
        <v>438</v>
      </c>
      <c r="G16" t="s">
        <v>655</v>
      </c>
    </row>
    <row r="17" spans="1:7" x14ac:dyDescent="0.2">
      <c r="A17" t="s">
        <v>439</v>
      </c>
      <c r="B17" t="s">
        <v>656</v>
      </c>
      <c r="C17" t="s">
        <v>440</v>
      </c>
      <c r="D17">
        <f>D11/D14</f>
        <v>62.457127308795535</v>
      </c>
      <c r="G17" t="s">
        <v>441</v>
      </c>
    </row>
    <row r="19" spans="1:7" x14ac:dyDescent="0.2">
      <c r="A19" t="s">
        <v>442</v>
      </c>
    </row>
    <row r="20" spans="1:7" x14ac:dyDescent="0.2">
      <c r="A20" t="s">
        <v>657</v>
      </c>
      <c r="G20" t="s">
        <v>658</v>
      </c>
    </row>
    <row r="21" spans="1:7" x14ac:dyDescent="0.2">
      <c r="A21" t="s">
        <v>443</v>
      </c>
      <c r="B21" t="s">
        <v>659</v>
      </c>
      <c r="C21" t="s">
        <v>444</v>
      </c>
      <c r="D21">
        <f>INDEX(assumptions!$D:$D,MATCH($F21,assumptions!$A:$A,0))</f>
        <v>57.8</v>
      </c>
      <c r="E21" t="s">
        <v>155</v>
      </c>
      <c r="F21" t="s">
        <v>445</v>
      </c>
      <c r="G21" t="s">
        <v>446</v>
      </c>
    </row>
    <row r="22" spans="1:7" x14ac:dyDescent="0.2">
      <c r="A22" t="s">
        <v>447</v>
      </c>
      <c r="B22" t="s">
        <v>637</v>
      </c>
      <c r="C22" t="s">
        <v>415</v>
      </c>
      <c r="D22">
        <f>INDEX(assumptions!$D:$D,MATCH($F22,assumptions!$A:$A,0))</f>
        <v>1050000</v>
      </c>
      <c r="E22" t="s">
        <v>155</v>
      </c>
      <c r="F22" t="s">
        <v>416</v>
      </c>
    </row>
    <row r="23" spans="1:7" x14ac:dyDescent="0.2">
      <c r="A23" t="s">
        <v>448</v>
      </c>
      <c r="B23" t="s">
        <v>660</v>
      </c>
      <c r="C23" t="s">
        <v>431</v>
      </c>
      <c r="D23">
        <f>INDEX(assumptions!$D:$D,MATCH($F23,assumptions!$A:$A,0))</f>
        <v>1.4999999999999999E-2</v>
      </c>
      <c r="E23" t="s">
        <v>138</v>
      </c>
      <c r="F23" t="s">
        <v>449</v>
      </c>
      <c r="G23" t="s">
        <v>661</v>
      </c>
    </row>
    <row r="24" spans="1:7" x14ac:dyDescent="0.2">
      <c r="A24" t="s">
        <v>450</v>
      </c>
      <c r="B24" t="s">
        <v>662</v>
      </c>
      <c r="C24" t="s">
        <v>451</v>
      </c>
      <c r="D24">
        <f>INDEX(assumptions!$D:$D,MATCH($F24,assumptions!$A:$A,0))</f>
        <v>30000</v>
      </c>
      <c r="E24" t="s">
        <v>138</v>
      </c>
      <c r="F24" t="s">
        <v>452</v>
      </c>
    </row>
    <row r="25" spans="1:7" x14ac:dyDescent="0.2">
      <c r="A25" t="s">
        <v>453</v>
      </c>
      <c r="B25" t="s">
        <v>663</v>
      </c>
      <c r="C25" t="s">
        <v>431</v>
      </c>
      <c r="D25">
        <f>INDEX(assumptions!$D:$D,MATCH($F25,assumptions!$A:$A,0))</f>
        <v>0.2</v>
      </c>
      <c r="E25" t="s">
        <v>138</v>
      </c>
      <c r="F25" t="s">
        <v>454</v>
      </c>
      <c r="G25" t="s">
        <v>664</v>
      </c>
    </row>
    <row r="26" spans="1:7" x14ac:dyDescent="0.2">
      <c r="A26" s="2" t="s">
        <v>455</v>
      </c>
      <c r="B26" t="s">
        <v>665</v>
      </c>
      <c r="C26" t="s">
        <v>456</v>
      </c>
      <c r="D26">
        <f>INDEX(assumptions!$D:$D,MATCH($F26,assumptions!$A:$A,0))</f>
        <v>60</v>
      </c>
      <c r="E26" t="s">
        <v>138</v>
      </c>
      <c r="F26" t="s">
        <v>457</v>
      </c>
    </row>
    <row r="27" spans="1:7" x14ac:dyDescent="0.2">
      <c r="A27" t="s">
        <v>458</v>
      </c>
      <c r="B27" t="s">
        <v>666</v>
      </c>
      <c r="C27" t="s">
        <v>377</v>
      </c>
      <c r="D27">
        <f>INDEX(assumptions!$D:$D,MATCH($F27,assumptions!$A:$A,0))</f>
        <v>200000</v>
      </c>
      <c r="E27" t="s">
        <v>138</v>
      </c>
      <c r="F27" t="s">
        <v>459</v>
      </c>
    </row>
    <row r="28" spans="1:7" x14ac:dyDescent="0.2">
      <c r="A28" t="s">
        <v>460</v>
      </c>
      <c r="B28" t="s">
        <v>28</v>
      </c>
      <c r="C28" t="s">
        <v>377</v>
      </c>
      <c r="D28">
        <f>D21*D22*D23+D24*D25*D26-D27</f>
        <v>1070350</v>
      </c>
      <c r="G28" t="s">
        <v>461</v>
      </c>
    </row>
    <row r="29" spans="1:7" x14ac:dyDescent="0.2">
      <c r="A29" t="s">
        <v>462</v>
      </c>
      <c r="B29" t="s">
        <v>650</v>
      </c>
      <c r="C29" t="s">
        <v>429</v>
      </c>
      <c r="D29">
        <f>D14</f>
        <v>898867.46987951815</v>
      </c>
      <c r="G29" t="s">
        <v>463</v>
      </c>
    </row>
    <row r="30" spans="1:7" x14ac:dyDescent="0.2">
      <c r="A30" t="s">
        <v>464</v>
      </c>
      <c r="B30" t="s">
        <v>667</v>
      </c>
      <c r="C30" t="s">
        <v>440</v>
      </c>
      <c r="D30">
        <f>D28/D29</f>
        <v>1.1907762110286035</v>
      </c>
      <c r="G30" t="s">
        <v>465</v>
      </c>
    </row>
    <row r="31" spans="1:7" x14ac:dyDescent="0.2">
      <c r="A31" t="s">
        <v>466</v>
      </c>
      <c r="B31" t="s">
        <v>668</v>
      </c>
      <c r="C31" t="s">
        <v>440</v>
      </c>
      <c r="D31">
        <f>D28/D16</f>
        <v>0.79385080735240232</v>
      </c>
      <c r="E31" t="s">
        <v>138</v>
      </c>
      <c r="F31" t="s">
        <v>438</v>
      </c>
      <c r="G31" t="s">
        <v>467</v>
      </c>
    </row>
    <row r="32" spans="1:7" x14ac:dyDescent="0.2">
      <c r="A32" t="s">
        <v>468</v>
      </c>
      <c r="B32" t="s">
        <v>669</v>
      </c>
      <c r="C32" t="s">
        <v>440</v>
      </c>
      <c r="D32">
        <f>D28/D15</f>
        <v>2.3815524220572071</v>
      </c>
      <c r="E32" t="s">
        <v>138</v>
      </c>
      <c r="F32" t="s">
        <v>436</v>
      </c>
      <c r="G32" t="s">
        <v>469</v>
      </c>
    </row>
    <row r="33" spans="1:7" x14ac:dyDescent="0.2">
      <c r="A33" t="s">
        <v>470</v>
      </c>
      <c r="B33" t="s">
        <v>670</v>
      </c>
      <c r="C33" t="s">
        <v>377</v>
      </c>
      <c r="D33">
        <f>D21*D22*INDEX(assumptions!$D:$D,MATCH($F33,assumptions!$A:$A,0))+D24*D25*D26-D27</f>
        <v>463450</v>
      </c>
      <c r="E33" t="s">
        <v>138</v>
      </c>
      <c r="F33" t="s">
        <v>471</v>
      </c>
      <c r="G33" t="s">
        <v>472</v>
      </c>
    </row>
    <row r="34" spans="1:7" x14ac:dyDescent="0.2">
      <c r="A34" t="s">
        <v>473</v>
      </c>
      <c r="B34" t="s">
        <v>671</v>
      </c>
      <c r="C34" t="s">
        <v>377</v>
      </c>
      <c r="D34">
        <f>D21*D22*INDEX(assumptions!$D:$D,MATCH($F34,assumptions!$A:$A,0))+D24*D25*D26-D27</f>
        <v>1980700</v>
      </c>
      <c r="E34" t="s">
        <v>138</v>
      </c>
      <c r="F34" t="s">
        <v>474</v>
      </c>
      <c r="G34" t="s">
        <v>475</v>
      </c>
    </row>
    <row r="35" spans="1:7" x14ac:dyDescent="0.2">
      <c r="A35" t="s">
        <v>476</v>
      </c>
      <c r="B35" t="s">
        <v>672</v>
      </c>
      <c r="C35" t="s">
        <v>377</v>
      </c>
      <c r="D35">
        <f>D21*D22*D23+D24*INDEX(assumptions!$D:$D,MATCH($F35,assumptions!$A:$A,0))*D26-D27</f>
        <v>890350</v>
      </c>
      <c r="E35" t="s">
        <v>138</v>
      </c>
      <c r="F35" t="s">
        <v>477</v>
      </c>
      <c r="G35" t="s">
        <v>478</v>
      </c>
    </row>
    <row r="36" spans="1:7" x14ac:dyDescent="0.2">
      <c r="A36" t="s">
        <v>479</v>
      </c>
      <c r="B36" t="s">
        <v>673</v>
      </c>
      <c r="C36" t="s">
        <v>377</v>
      </c>
      <c r="D36">
        <f>D21*D22*D23+D24*INDEX(assumptions!$D:$D,MATCH($F36,assumptions!$A:$A,0))*D26-D27</f>
        <v>1430350</v>
      </c>
      <c r="E36" t="s">
        <v>138</v>
      </c>
      <c r="F36" t="s">
        <v>480</v>
      </c>
      <c r="G36" t="s">
        <v>481</v>
      </c>
    </row>
    <row r="37" spans="1:7" x14ac:dyDescent="0.2">
      <c r="A37" t="s">
        <v>634</v>
      </c>
      <c r="B37" t="s">
        <v>674</v>
      </c>
      <c r="C37" t="s">
        <v>377</v>
      </c>
      <c r="D37">
        <f>INDEX(assumptions!$D:$D,MATCH($F37,assumptions!$A:$A,0))*D22*D23+D24*D25*D26-D27</f>
        <v>1045150</v>
      </c>
      <c r="E37" t="s">
        <v>155</v>
      </c>
      <c r="F37" t="s">
        <v>625</v>
      </c>
      <c r="G37" t="s">
        <v>635</v>
      </c>
    </row>
    <row r="38" spans="1:7" x14ac:dyDescent="0.2">
      <c r="A38" t="s">
        <v>482</v>
      </c>
      <c r="B38" t="s">
        <v>675</v>
      </c>
      <c r="C38" t="s">
        <v>377</v>
      </c>
      <c r="D38">
        <f>0.03*D21*D22</f>
        <v>1820699.9999999998</v>
      </c>
      <c r="G38" t="s">
        <v>483</v>
      </c>
    </row>
    <row r="40" spans="1:7" x14ac:dyDescent="0.2">
      <c r="A40" t="s">
        <v>484</v>
      </c>
    </row>
    <row r="41" spans="1:7" x14ac:dyDescent="0.2">
      <c r="A41" t="s">
        <v>676</v>
      </c>
      <c r="G41" t="s">
        <v>677</v>
      </c>
    </row>
    <row r="42" spans="1:7" x14ac:dyDescent="0.2">
      <c r="A42" t="s">
        <v>443</v>
      </c>
      <c r="B42" t="s">
        <v>659</v>
      </c>
      <c r="C42" t="s">
        <v>444</v>
      </c>
      <c r="D42">
        <f>INDEX(assumptions!$D:$D,MATCH($F42,assumptions!$A:$A,0))</f>
        <v>57.8</v>
      </c>
      <c r="E42" t="s">
        <v>155</v>
      </c>
      <c r="F42" t="s">
        <v>445</v>
      </c>
    </row>
    <row r="43" spans="1:7" x14ac:dyDescent="0.2">
      <c r="A43" t="s">
        <v>485</v>
      </c>
      <c r="B43" t="s">
        <v>678</v>
      </c>
      <c r="C43" t="s">
        <v>213</v>
      </c>
      <c r="D43">
        <f>INDEX(assumptions!$D:$D,MATCH($F43,assumptions!$A:$A,0))</f>
        <v>8600</v>
      </c>
      <c r="E43" t="s">
        <v>60</v>
      </c>
      <c r="F43" t="s">
        <v>218</v>
      </c>
    </row>
    <row r="44" spans="1:7" x14ac:dyDescent="0.2">
      <c r="A44" t="s">
        <v>486</v>
      </c>
      <c r="B44" t="s">
        <v>679</v>
      </c>
      <c r="C44" t="s">
        <v>431</v>
      </c>
      <c r="D44">
        <f>INDEX(assumptions!$D:$D,MATCH($F44,assumptions!$A:$A,0))</f>
        <v>0.3</v>
      </c>
      <c r="E44" t="s">
        <v>138</v>
      </c>
      <c r="F44" t="s">
        <v>487</v>
      </c>
    </row>
    <row r="45" spans="1:7" x14ac:dyDescent="0.2">
      <c r="A45" t="s">
        <v>488</v>
      </c>
      <c r="B45" t="s">
        <v>680</v>
      </c>
      <c r="C45" t="s">
        <v>489</v>
      </c>
      <c r="D45">
        <f>INDEX(assumptions!$D:$D,MATCH($F45,assumptions!$A:$A,0))</f>
        <v>6000</v>
      </c>
      <c r="E45" t="s">
        <v>138</v>
      </c>
      <c r="F45" t="s">
        <v>490</v>
      </c>
      <c r="G45" t="s">
        <v>491</v>
      </c>
    </row>
    <row r="46" spans="1:7" x14ac:dyDescent="0.2">
      <c r="A46" t="s">
        <v>492</v>
      </c>
      <c r="B46" t="s">
        <v>681</v>
      </c>
      <c r="C46" t="s">
        <v>415</v>
      </c>
      <c r="D46">
        <f>D43/1000/D44*D45</f>
        <v>172000</v>
      </c>
      <c r="G46" t="s">
        <v>682</v>
      </c>
    </row>
    <row r="47" spans="1:7" x14ac:dyDescent="0.2">
      <c r="A47" t="s">
        <v>493</v>
      </c>
      <c r="B47" t="s">
        <v>683</v>
      </c>
      <c r="C47" t="s">
        <v>415</v>
      </c>
      <c r="D47">
        <f>D3-D46</f>
        <v>878000</v>
      </c>
      <c r="G47" t="s">
        <v>684</v>
      </c>
    </row>
    <row r="48" spans="1:7" x14ac:dyDescent="0.2">
      <c r="A48" t="s">
        <v>494</v>
      </c>
      <c r="B48" t="s">
        <v>685</v>
      </c>
      <c r="C48" t="s">
        <v>431</v>
      </c>
      <c r="D48">
        <f>INDEX(assumptions!$D:$D,MATCH($F48,assumptions!$A:$A,0))</f>
        <v>0.01</v>
      </c>
      <c r="E48" t="s">
        <v>138</v>
      </c>
      <c r="F48" t="s">
        <v>495</v>
      </c>
      <c r="G48" t="s">
        <v>686</v>
      </c>
    </row>
    <row r="49" spans="1:7" x14ac:dyDescent="0.2">
      <c r="A49" t="s">
        <v>458</v>
      </c>
      <c r="B49" t="s">
        <v>687</v>
      </c>
      <c r="C49" t="s">
        <v>377</v>
      </c>
      <c r="D49">
        <f>INDEX(assumptions!$D:$D,MATCH($F49,assumptions!$A:$A,0))</f>
        <v>100000</v>
      </c>
      <c r="E49" t="s">
        <v>138</v>
      </c>
      <c r="F49" t="s">
        <v>496</v>
      </c>
    </row>
    <row r="50" spans="1:7" x14ac:dyDescent="0.2">
      <c r="A50" t="s">
        <v>460</v>
      </c>
      <c r="B50" t="s">
        <v>268</v>
      </c>
      <c r="C50" t="s">
        <v>377</v>
      </c>
      <c r="D50">
        <f>D42*D47*D48-D49</f>
        <v>407484</v>
      </c>
      <c r="G50" t="s">
        <v>461</v>
      </c>
    </row>
    <row r="51" spans="1:7" x14ac:dyDescent="0.2">
      <c r="A51" t="s">
        <v>462</v>
      </c>
      <c r="B51" t="s">
        <v>650</v>
      </c>
      <c r="C51" t="s">
        <v>429</v>
      </c>
      <c r="D51">
        <f>D14</f>
        <v>898867.46987951815</v>
      </c>
    </row>
    <row r="52" spans="1:7" x14ac:dyDescent="0.2">
      <c r="A52" t="s">
        <v>464</v>
      </c>
      <c r="B52" t="s">
        <v>688</v>
      </c>
      <c r="C52" t="s">
        <v>440</v>
      </c>
      <c r="D52">
        <f>D50/D51</f>
        <v>0.45333045599549632</v>
      </c>
    </row>
    <row r="53" spans="1:7" x14ac:dyDescent="0.2">
      <c r="A53" t="s">
        <v>466</v>
      </c>
      <c r="B53" t="s">
        <v>689</v>
      </c>
      <c r="C53" t="s">
        <v>440</v>
      </c>
      <c r="D53">
        <f>D50/D16</f>
        <v>0.30222030399699756</v>
      </c>
      <c r="E53" t="s">
        <v>138</v>
      </c>
      <c r="F53" t="s">
        <v>438</v>
      </c>
    </row>
    <row r="54" spans="1:7" x14ac:dyDescent="0.2">
      <c r="A54" t="s">
        <v>468</v>
      </c>
      <c r="B54" t="s">
        <v>690</v>
      </c>
      <c r="C54" t="s">
        <v>440</v>
      </c>
      <c r="D54">
        <f>D50/D15</f>
        <v>0.90666091199099264</v>
      </c>
      <c r="E54" t="s">
        <v>138</v>
      </c>
      <c r="F54" t="s">
        <v>436</v>
      </c>
    </row>
    <row r="55" spans="1:7" x14ac:dyDescent="0.2">
      <c r="A55" t="s">
        <v>497</v>
      </c>
      <c r="B55" t="s">
        <v>691</v>
      </c>
      <c r="C55" t="s">
        <v>377</v>
      </c>
      <c r="D55">
        <f>0.03*D42*D47</f>
        <v>1522451.9999999998</v>
      </c>
      <c r="G55" t="s">
        <v>498</v>
      </c>
    </row>
    <row r="57" spans="1:7" x14ac:dyDescent="0.2">
      <c r="A57" t="s">
        <v>499</v>
      </c>
    </row>
    <row r="58" spans="1:7" x14ac:dyDescent="0.2">
      <c r="A58" t="s">
        <v>692</v>
      </c>
      <c r="G58" t="s">
        <v>693</v>
      </c>
    </row>
    <row r="59" spans="1:7" x14ac:dyDescent="0.2">
      <c r="A59" t="s">
        <v>485</v>
      </c>
      <c r="B59" t="s">
        <v>678</v>
      </c>
      <c r="C59" t="s">
        <v>213</v>
      </c>
      <c r="D59">
        <f>INDEX(assumptions!$D:$D,MATCH($F59,assumptions!$A:$A,0))</f>
        <v>8600</v>
      </c>
      <c r="E59" t="s">
        <v>60</v>
      </c>
      <c r="F59" t="s">
        <v>218</v>
      </c>
    </row>
    <row r="60" spans="1:7" x14ac:dyDescent="0.2">
      <c r="A60" t="s">
        <v>486</v>
      </c>
      <c r="B60" t="s">
        <v>679</v>
      </c>
      <c r="C60" t="s">
        <v>431</v>
      </c>
      <c r="D60">
        <f>INDEX(assumptions!$D:$D,MATCH($F60,assumptions!$A:$A,0))</f>
        <v>0.3</v>
      </c>
      <c r="E60" t="s">
        <v>138</v>
      </c>
      <c r="F60" t="s">
        <v>487</v>
      </c>
    </row>
    <row r="61" spans="1:7" x14ac:dyDescent="0.2">
      <c r="A61" t="s">
        <v>200</v>
      </c>
      <c r="B61" t="s">
        <v>694</v>
      </c>
      <c r="C61" t="s">
        <v>117</v>
      </c>
      <c r="D61">
        <f>INDEX(assumptions!$D:$D,MATCH($F61,assumptions!$A:$A,0))</f>
        <v>85</v>
      </c>
      <c r="E61" t="s">
        <v>155</v>
      </c>
      <c r="F61" t="s">
        <v>199</v>
      </c>
    </row>
    <row r="62" spans="1:7" x14ac:dyDescent="0.2">
      <c r="A62" t="s">
        <v>500</v>
      </c>
      <c r="B62" t="s">
        <v>695</v>
      </c>
      <c r="C62" t="s">
        <v>501</v>
      </c>
      <c r="D62">
        <f>(D61/100-D60)/D60</f>
        <v>1.8333333333333335</v>
      </c>
      <c r="G62" t="s">
        <v>696</v>
      </c>
    </row>
    <row r="63" spans="1:7" x14ac:dyDescent="0.2">
      <c r="A63" t="s">
        <v>502</v>
      </c>
      <c r="B63" t="s">
        <v>697</v>
      </c>
      <c r="C63" t="s">
        <v>431</v>
      </c>
      <c r="D63">
        <f>INDEX(assumptions!$D:$D,MATCH($F63,assumptions!$A:$A,0))</f>
        <v>0.92</v>
      </c>
      <c r="E63" t="s">
        <v>138</v>
      </c>
      <c r="F63" t="s">
        <v>503</v>
      </c>
    </row>
    <row r="64" spans="1:7" x14ac:dyDescent="0.2">
      <c r="A64" t="s">
        <v>443</v>
      </c>
      <c r="B64" t="s">
        <v>659</v>
      </c>
      <c r="C64" t="s">
        <v>444</v>
      </c>
      <c r="D64">
        <f>INDEX(assumptions!$D:$D,MATCH($F64,assumptions!$A:$A,0))</f>
        <v>57.8</v>
      </c>
      <c r="E64" t="s">
        <v>155</v>
      </c>
      <c r="F64" t="s">
        <v>445</v>
      </c>
    </row>
    <row r="65" spans="1:7" x14ac:dyDescent="0.2">
      <c r="A65" t="s">
        <v>504</v>
      </c>
      <c r="B65" t="s">
        <v>698</v>
      </c>
      <c r="C65" t="s">
        <v>444</v>
      </c>
      <c r="D65">
        <f>INDEX(assumptions!$D:$D,MATCH($F65,assumptions!$A:$A,0))</f>
        <v>0</v>
      </c>
      <c r="E65" t="s">
        <v>138</v>
      </c>
      <c r="F65" t="s">
        <v>505</v>
      </c>
      <c r="G65" t="s">
        <v>506</v>
      </c>
    </row>
    <row r="66" spans="1:7" x14ac:dyDescent="0.2">
      <c r="A66" t="s">
        <v>507</v>
      </c>
      <c r="B66" t="s">
        <v>699</v>
      </c>
      <c r="C66" t="s">
        <v>489</v>
      </c>
      <c r="D66">
        <f>INDEX(assumptions!$D:$D,MATCH($F66,assumptions!$A:$A,0))</f>
        <v>6000</v>
      </c>
      <c r="E66" t="s">
        <v>138</v>
      </c>
      <c r="F66" t="s">
        <v>490</v>
      </c>
      <c r="G66" t="s">
        <v>491</v>
      </c>
    </row>
    <row r="67" spans="1:7" x14ac:dyDescent="0.2">
      <c r="A67" t="s">
        <v>508</v>
      </c>
      <c r="B67" t="s">
        <v>700</v>
      </c>
      <c r="C67" t="s">
        <v>509</v>
      </c>
      <c r="D67">
        <f>INDEX(assumptions!$D:$D,MATCH($F67,assumptions!$A:$A,0))</f>
        <v>500</v>
      </c>
      <c r="E67" t="s">
        <v>138</v>
      </c>
      <c r="F67" t="s">
        <v>510</v>
      </c>
      <c r="G67" t="s">
        <v>491</v>
      </c>
    </row>
    <row r="68" spans="1:7" x14ac:dyDescent="0.2">
      <c r="A68" t="s">
        <v>458</v>
      </c>
      <c r="B68" t="s">
        <v>701</v>
      </c>
      <c r="C68" t="s">
        <v>377</v>
      </c>
      <c r="D68">
        <f>INDEX(assumptions!$D:$D,MATCH($F68,assumptions!$A:$A,0))</f>
        <v>100000</v>
      </c>
      <c r="E68" t="s">
        <v>138</v>
      </c>
      <c r="F68" t="s">
        <v>511</v>
      </c>
    </row>
    <row r="69" spans="1:7" x14ac:dyDescent="0.2">
      <c r="A69" t="s">
        <v>512</v>
      </c>
      <c r="B69" t="s">
        <v>702</v>
      </c>
      <c r="C69" t="s">
        <v>444</v>
      </c>
      <c r="D69">
        <f>D64/D60-D62*D64/D63</f>
        <v>77.485507246376798</v>
      </c>
      <c r="G69" t="s">
        <v>723</v>
      </c>
    </row>
    <row r="70" spans="1:7" x14ac:dyDescent="0.2">
      <c r="A70" t="s">
        <v>513</v>
      </c>
      <c r="B70" t="s">
        <v>29</v>
      </c>
      <c r="C70" t="s">
        <v>377</v>
      </c>
      <c r="D70" t="s">
        <v>491</v>
      </c>
      <c r="G70" t="s">
        <v>514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672FE-D8FE-194D-AD1E-1938348FC52B}">
  <dimension ref="A1"/>
  <sheetViews>
    <sheetView workbookViewId="0">
      <selection activeCell="C12" sqref="C12"/>
    </sheetView>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sources</vt:lpstr>
      <vt:lpstr>assumptions</vt:lpstr>
      <vt:lpstr>usecases</vt:lpstr>
      <vt:lpstr>calc</vt:lpstr>
      <vt:lpstr>hand_check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Nasir Asadov</dc:creator>
  <cp:lastModifiedBy>Nasir Asadov</cp:lastModifiedBy>
  <dcterms:created xsi:type="dcterms:W3CDTF">2026-09-24T08:59:47Z</dcterms:created>
  <dcterms:modified xsi:type="dcterms:W3CDTF">2026-09-27T12:42:40Z</dcterms:modified>
</cp:coreProperties>
</file>